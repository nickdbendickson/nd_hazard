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drawings/drawing19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filterPrivacy="1" defaultThemeVersion="124226"/>
  <xr:revisionPtr revIDLastSave="0" documentId="8_{314BDEF7-6110-CB4E-A989-F4809A7EAAE9}" xr6:coauthVersionLast="47" xr6:coauthVersionMax="47" xr10:uidLastSave="{00000000-0000-0000-0000-000000000000}"/>
  <bookViews>
    <workbookView xWindow="1160" yWindow="680" windowWidth="28760" windowHeight="18660" xr2:uid="{9C1C8A0C-3A7A-0744-BB97-D8C6216687C0}"/>
  </bookViews>
  <sheets>
    <sheet name="Structure Data Input " sheetId="17" r:id="rId1"/>
    <sheet name="5.1" sheetId="10" r:id="rId2"/>
    <sheet name="5.2" sheetId="14" r:id="rId3"/>
    <sheet name="Chart Create Data" sheetId="1" r:id="rId4"/>
    <sheet name="trendline" sheetId="12" r:id="rId5"/>
    <sheet name="DATA ENTRY" sheetId="19" r:id="rId6"/>
    <sheet name="HOUSES" sheetId="20" r:id="rId7"/>
    <sheet name="MOBILE HOMES" sheetId="21" r:id="rId8"/>
    <sheet name="CARS" sheetId="22" r:id="rId9"/>
    <sheet name="ADULTS" sheetId="23" r:id="rId10"/>
    <sheet name="CHILDREN" sheetId="2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Q45" i="1"/>
  <c r="S45" i="1" s="1"/>
  <c r="P45" i="1"/>
  <c r="R44" i="1"/>
  <c r="Q44" i="1"/>
  <c r="S44" i="1" s="1"/>
  <c r="P44" i="1"/>
  <c r="R43" i="1"/>
  <c r="Q43" i="1"/>
  <c r="S43" i="1" s="1"/>
  <c r="P43" i="1"/>
  <c r="R42" i="1"/>
  <c r="Q42" i="1"/>
  <c r="S42" i="1" s="1"/>
  <c r="P42" i="1"/>
  <c r="R41" i="1"/>
  <c r="Q41" i="1"/>
  <c r="S41" i="1" s="1"/>
  <c r="P41" i="1"/>
  <c r="R40" i="1"/>
  <c r="Q40" i="1"/>
  <c r="S40" i="1" s="1"/>
  <c r="P40" i="1"/>
  <c r="R39" i="1"/>
  <c r="Q39" i="1"/>
  <c r="S39" i="1" s="1"/>
  <c r="P39" i="1"/>
  <c r="R38" i="1"/>
  <c r="Q38" i="1"/>
  <c r="S38" i="1" s="1"/>
  <c r="P38" i="1"/>
  <c r="R37" i="1"/>
  <c r="Q37" i="1"/>
  <c r="S37" i="1" s="1"/>
  <c r="P37" i="1"/>
  <c r="N4" i="17" l="1"/>
  <c r="E37" i="17" l="1"/>
  <c r="D37" i="17"/>
  <c r="C37" i="17"/>
  <c r="E34" i="17"/>
  <c r="D34" i="17"/>
  <c r="C34" i="17"/>
  <c r="E32" i="17"/>
  <c r="D32" i="17"/>
  <c r="C32" i="17"/>
  <c r="E31" i="17"/>
  <c r="D31" i="17"/>
  <c r="C31" i="17"/>
  <c r="E30" i="17"/>
  <c r="D30" i="17"/>
  <c r="C30" i="17"/>
  <c r="T22" i="17"/>
  <c r="E22" i="17"/>
  <c r="D22" i="17"/>
  <c r="C22" i="17"/>
  <c r="T21" i="17"/>
  <c r="E21" i="17"/>
  <c r="D21" i="17"/>
  <c r="C21" i="17"/>
  <c r="T20" i="17"/>
  <c r="E20" i="17"/>
  <c r="T19" i="17"/>
  <c r="E19" i="17"/>
  <c r="D19" i="17"/>
  <c r="C19" i="17"/>
  <c r="T18" i="17"/>
  <c r="E18" i="17"/>
  <c r="D18" i="17"/>
  <c r="C18" i="17"/>
  <c r="T17" i="17"/>
  <c r="E17" i="17"/>
  <c r="T16" i="17"/>
  <c r="E16" i="17"/>
  <c r="D16" i="17"/>
  <c r="C16" i="17"/>
  <c r="T15" i="17"/>
  <c r="E15" i="17"/>
  <c r="T14" i="17"/>
  <c r="E14" i="17"/>
  <c r="T13" i="17"/>
  <c r="E13" i="17"/>
  <c r="T12" i="17"/>
  <c r="E12" i="17"/>
  <c r="D12" i="17"/>
  <c r="C12" i="17"/>
  <c r="T11" i="17"/>
  <c r="E11" i="17"/>
  <c r="D11" i="17"/>
  <c r="C11" i="17"/>
  <c r="T10" i="17"/>
  <c r="E10" i="17"/>
  <c r="T9" i="17"/>
  <c r="E9" i="17"/>
  <c r="D9" i="17"/>
  <c r="C9" i="17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K53" i="1" s="1"/>
  <c r="J53" i="1"/>
  <c r="J37" i="1"/>
  <c r="I37" i="1"/>
  <c r="H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7" i="1"/>
  <c r="Q16" i="1"/>
  <c r="Q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5" i="1"/>
  <c r="P5" i="1"/>
  <c r="Q4" i="1"/>
  <c r="P4" i="1"/>
  <c r="Q3" i="1"/>
  <c r="B20" i="1"/>
  <c r="B24" i="1"/>
  <c r="B14" i="1"/>
  <c r="B12" i="1"/>
  <c r="K45" i="1" l="1"/>
  <c r="K39" i="1"/>
  <c r="K41" i="1"/>
  <c r="K51" i="1"/>
  <c r="K43" i="1"/>
  <c r="E60" i="1"/>
  <c r="E44" i="1"/>
  <c r="E57" i="1"/>
  <c r="K40" i="1"/>
  <c r="K50" i="1"/>
  <c r="E49" i="1"/>
  <c r="E41" i="1"/>
  <c r="K47" i="1"/>
  <c r="K52" i="1"/>
  <c r="K49" i="1"/>
  <c r="K46" i="1"/>
  <c r="K44" i="1"/>
  <c r="K48" i="1"/>
  <c r="K42" i="1"/>
  <c r="K38" i="1"/>
  <c r="E52" i="1"/>
  <c r="E48" i="1"/>
  <c r="E56" i="1"/>
  <c r="E40" i="1"/>
  <c r="E37" i="1"/>
  <c r="E55" i="1"/>
  <c r="E47" i="1"/>
  <c r="E39" i="1"/>
  <c r="E62" i="1"/>
  <c r="E46" i="1"/>
  <c r="E54" i="1"/>
  <c r="E61" i="1"/>
  <c r="E53" i="1"/>
  <c r="E45" i="1"/>
  <c r="K37" i="1"/>
  <c r="E38" i="1"/>
  <c r="E51" i="1"/>
  <c r="E59" i="1"/>
  <c r="E43" i="1"/>
  <c r="E58" i="1"/>
  <c r="E50" i="1"/>
  <c r="E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8" authorId="0" shapeId="0" xr:uid="{89BD666F-FD59-0045-AFCB-5C04687A04EB}">
      <text>
        <r>
          <rPr>
            <b/>
            <sz val="10"/>
            <color rgb="FF000000"/>
            <rFont val="Tahoma"/>
            <family val="2"/>
          </rPr>
          <t xml:space="preserve">Having an issue with the horizontal axis being off by one.
</t>
        </r>
      </text>
    </comment>
  </commentList>
</comments>
</file>

<file path=xl/sharedStrings.xml><?xml version="1.0" encoding="utf-8"?>
<sst xmlns="http://schemas.openxmlformats.org/spreadsheetml/2006/main" count="88" uniqueCount="60">
  <si>
    <t>Houses on Founds</t>
  </si>
  <si>
    <t>Houses Mobile</t>
  </si>
  <si>
    <t>Passenger Vehicles</t>
  </si>
  <si>
    <t>Adults</t>
  </si>
  <si>
    <t>Children</t>
  </si>
  <si>
    <t>Depth (ft)</t>
  </si>
  <si>
    <t>Top low</t>
  </si>
  <si>
    <t>Top Judge</t>
  </si>
  <si>
    <t>Base</t>
  </si>
  <si>
    <t>Differec</t>
  </si>
  <si>
    <t>Depth</t>
  </si>
  <si>
    <t>Velociy</t>
  </si>
  <si>
    <t>#1</t>
  </si>
  <si>
    <t>#2</t>
  </si>
  <si>
    <t>#3</t>
  </si>
  <si>
    <t>#4</t>
  </si>
  <si>
    <t>#5</t>
  </si>
  <si>
    <t>#6</t>
  </si>
  <si>
    <t>Difference</t>
  </si>
  <si>
    <t>Velocity</t>
  </si>
  <si>
    <t>Arrival Time</t>
  </si>
  <si>
    <t xml:space="preserve"> </t>
  </si>
  <si>
    <t>Houses on Foundation</t>
  </si>
  <si>
    <t>Mobile Homes</t>
  </si>
  <si>
    <t>Structure</t>
  </si>
  <si>
    <t>QGIS csv Export</t>
  </si>
  <si>
    <t>AT</t>
  </si>
  <si>
    <t>D</t>
  </si>
  <si>
    <t>V</t>
  </si>
  <si>
    <t>V+1</t>
  </si>
  <si>
    <t>0</t>
  </si>
  <si>
    <t>POI</t>
  </si>
  <si>
    <t>Note</t>
  </si>
  <si>
    <r>
      <t>ND Dam Safety S</t>
    </r>
    <r>
      <rPr>
        <b/>
        <sz val="18"/>
        <color theme="1"/>
        <rFont val="Calibri (Body)"/>
      </rPr>
      <t>tandards Hazard Classification Figures</t>
    </r>
  </si>
  <si>
    <t>Data Entry Worksheet for Plotting Breach Analysis Results on Hazard Charts</t>
  </si>
  <si>
    <t>Note: Depth and velocity for breach and non-breach scenarios can be plotted on these tables and will be presented on the hazard charts</t>
  </si>
  <si>
    <t xml:space="preserve"> Depth (ft) and Velocity (ft/s)</t>
  </si>
  <si>
    <t>Hydrologic Load Condition</t>
  </si>
  <si>
    <t>Houses Depth</t>
  </si>
  <si>
    <t>Houses Velocity</t>
  </si>
  <si>
    <t>Mobile Homes Depth</t>
  </si>
  <si>
    <t>Mobile Homes Velocity</t>
  </si>
  <si>
    <t>Cars Depth</t>
  </si>
  <si>
    <t>Cars Velocity</t>
  </si>
  <si>
    <t>Adults Depth</t>
  </si>
  <si>
    <t>Adults Velocity</t>
  </si>
  <si>
    <t>Children Depth</t>
  </si>
  <si>
    <t>Children Velocity</t>
  </si>
  <si>
    <t>Sunny Day No Breach</t>
  </si>
  <si>
    <t>Sunny Day Breach</t>
  </si>
  <si>
    <t>100-Year No Breach</t>
  </si>
  <si>
    <t>100-Year Breach</t>
  </si>
  <si>
    <t>Brim-Full No Breach</t>
  </si>
  <si>
    <t>Brim Full Breach</t>
  </si>
  <si>
    <t>50% PMF No Breach</t>
  </si>
  <si>
    <t>50% PMF Breach</t>
  </si>
  <si>
    <t>PMF No Breach</t>
  </si>
  <si>
    <t>PMF Breach</t>
  </si>
  <si>
    <t>Figures are from the ND Dam Safety Standards, which were adapted from USBR ACER Tech No.11 Downstream Hazard Classification Guidelines.</t>
  </si>
  <si>
    <t>Spreadsheet was created using Maryland's Dam Safety Depth-Velocity Flood Hazard Charts excel file, which are included as the green tabs or found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</si>
</sst>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 (Body)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sz val="12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2" fillId="0" borderId="0" xfId="0" applyFont="1"/>
    <xf numFmtId="0" fontId="9" fillId="0" borderId="0" xfId="0" applyFont="1"/>
    <xf numFmtId="0" fontId="11" fillId="0" borderId="0" xfId="0" applyFont="1" applyAlignment="1">
      <alignment horizontal="center"/>
    </xf>
    <xf numFmtId="0" fontId="0" fillId="0" borderId="4" xfId="0" applyBorder="1"/>
    <xf numFmtId="0" fontId="7" fillId="0" borderId="5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textRotation="75"/>
    </xf>
    <xf numFmtId="0" fontId="0" fillId="0" borderId="6" xfId="0" applyBorder="1" applyAlignment="1">
      <alignment horizontal="center" vertical="center" textRotation="75"/>
    </xf>
    <xf numFmtId="0" fontId="0" fillId="0" borderId="7" xfId="0" applyBorder="1"/>
    <xf numFmtId="0" fontId="0" fillId="0" borderId="0" xfId="0" applyAlignment="1">
      <alignment textRotation="75"/>
    </xf>
    <xf numFmtId="0" fontId="0" fillId="0" borderId="1" xfId="0" applyBorder="1" applyAlignment="1">
      <alignment horizontal="right"/>
    </xf>
    <xf numFmtId="0" fontId="0" fillId="2" borderId="2" xfId="0" applyFill="1" applyBorder="1"/>
    <xf numFmtId="0" fontId="0" fillId="0" borderId="2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2" borderId="10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right"/>
    </xf>
    <xf numFmtId="0" fontId="0" fillId="2" borderId="13" xfId="0" applyFill="1" applyBorder="1"/>
    <xf numFmtId="0" fontId="0" fillId="0" borderId="13" xfId="0" applyBorder="1"/>
    <xf numFmtId="0" fontId="0" fillId="0" borderId="14" xfId="0" applyBorder="1"/>
    <xf numFmtId="0" fontId="13" fillId="0" borderId="18" xfId="0" applyFont="1" applyBorder="1" applyAlignment="1">
      <alignment horizontal="right"/>
    </xf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4" fillId="0" borderId="23" xfId="1" applyFont="1" applyBorder="1"/>
    <xf numFmtId="0" fontId="2" fillId="0" borderId="16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16" xfId="0" applyFont="1" applyBorder="1"/>
    <xf numFmtId="0" fontId="15" fillId="0" borderId="0" xfId="0" applyFont="1" applyAlignment="1">
      <alignment horizontal="center"/>
    </xf>
    <xf numFmtId="0" fontId="13" fillId="0" borderId="19" xfId="0" applyFont="1" applyBorder="1" applyAlignment="1">
      <alignment horizontal="left" wrapText="1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EE9A98"/>
      <color rgb="FFF9F5A6"/>
      <color rgb="FFCEE5BC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4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chartsheet" Target="chartsheets/sheet8.xml"/><Relationship Id="rId5" Type="http://schemas.openxmlformats.org/officeDocument/2006/relationships/chartsheet" Target="chartsheets/sheet3.xml"/><Relationship Id="rId15" Type="http://schemas.openxmlformats.org/officeDocument/2006/relationships/calcChain" Target="calcChain.xml"/><Relationship Id="rId10" Type="http://schemas.openxmlformats.org/officeDocument/2006/relationships/chartsheet" Target="chartsheets/sheet7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1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523915710271736E-2"/>
          <c:y val="2.7120443277923591E-2"/>
          <c:w val="0.88845655675439061"/>
          <c:h val="0.76806977361424333"/>
        </c:manualLayout>
      </c:layout>
      <c:areaChart>
        <c:grouping val="stacked"/>
        <c:varyColors val="0"/>
        <c:ser>
          <c:idx val="2"/>
          <c:order val="0"/>
          <c:tx>
            <c:strRef>
              <c:f>'Chart Create Data'!$H$36</c:f>
              <c:strCache>
                <c:ptCount val="1"/>
                <c:pt idx="0">
                  <c:v>Top low</c:v>
                </c:pt>
              </c:strCache>
            </c:strRef>
          </c:tx>
          <c:spPr>
            <a:solidFill>
              <a:srgbClr val="00B050">
                <a:alpha val="40000"/>
              </a:srgbClr>
            </a:solidFill>
            <a:ln>
              <a:noFill/>
            </a:ln>
          </c:spPr>
          <c:cat>
            <c:numRef>
              <c:f>'Chart Create Data'!$G$37:$G$53</c:f>
              <c:numCache>
                <c:formatCode>@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'Chart Create Data'!$H$37:$H$53</c:f>
              <c:numCache>
                <c:formatCode>@</c:formatCode>
                <c:ptCount val="17"/>
                <c:pt idx="0">
                  <c:v>1.9001165501146999</c:v>
                </c:pt>
                <c:pt idx="1">
                  <c:v>1.8934473339141791</c:v>
                </c:pt>
                <c:pt idx="2">
                  <c:v>1.8795221445202108</c:v>
                </c:pt>
                <c:pt idx="3">
                  <c:v>1.8582462849630947</c:v>
                </c:pt>
                <c:pt idx="4">
                  <c:v>1.8297785547766281</c:v>
                </c:pt>
                <c:pt idx="5">
                  <c:v>1.7945312499981045</c:v>
                </c:pt>
                <c:pt idx="6">
                  <c:v>1.7531701631683152</c:v>
                </c:pt>
                <c:pt idx="7">
                  <c:v>1.7066145833315483</c:v>
                </c:pt>
                <c:pt idx="8">
                  <c:v>1.6560372960355887</c:v>
                </c:pt>
                <c:pt idx="9">
                  <c:v>1.6028645833317188</c:v>
                </c:pt>
                <c:pt idx="10">
                  <c:v>1.5487762237747176</c:v>
                </c:pt>
                <c:pt idx="11">
                  <c:v>1.4957054924228612</c:v>
                </c:pt>
                <c:pt idx="12">
                  <c:v>1.4458391608379233</c:v>
                </c:pt>
                <c:pt idx="13">
                  <c:v>1.4016174970851736</c:v>
                </c:pt>
                <c:pt idx="14">
                  <c:v>1.36573426573338</c:v>
                </c:pt>
                <c:pt idx="15">
                  <c:v>1.3411367278548065</c:v>
                </c:pt>
                <c:pt idx="16">
                  <c:v>1.3310256410252148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7-704C-AAFC-C2AED998270D}"/>
            </c:ext>
          </c:extLst>
        </c:ser>
        <c:ser>
          <c:idx val="1"/>
          <c:order val="3"/>
          <c:tx>
            <c:strRef>
              <c:f>'Chart Create Data'!$K$36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</c:spPr>
          <c:cat>
            <c:numRef>
              <c:f>'Chart Create Data'!$G$37:$G$53</c:f>
              <c:numCache>
                <c:formatCode>@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'Chart Create Data'!$K$37:$K$53</c:f>
              <c:numCache>
                <c:formatCode>@</c:formatCode>
                <c:ptCount val="17"/>
                <c:pt idx="0">
                  <c:v>0.60055944055874</c:v>
                </c:pt>
                <c:pt idx="1">
                  <c:v>0.60398306381055455</c:v>
                </c:pt>
                <c:pt idx="2">
                  <c:v>0.6089994172488471</c:v>
                </c:pt>
                <c:pt idx="3">
                  <c:v>0.61535281905543426</c:v>
                </c:pt>
                <c:pt idx="4">
                  <c:v>0.62276573426527881</c:v>
                </c:pt>
                <c:pt idx="5">
                  <c:v>0.63093877476649141</c:v>
                </c:pt>
                <c:pt idx="6">
                  <c:v>0.63955069930033037</c:v>
                </c:pt>
                <c:pt idx="7">
                  <c:v>0.64825841346120039</c:v>
                </c:pt>
                <c:pt idx="8">
                  <c:v>0.65669696969665359</c:v>
                </c:pt>
                <c:pt idx="9">
                  <c:v>0.66447956730738955</c:v>
                </c:pt>
                <c:pt idx="10">
                  <c:v>0.67119755244725487</c:v>
                </c:pt>
                <c:pt idx="11">
                  <c:v>0.67642041812324338</c:v>
                </c:pt>
                <c:pt idx="12">
                  <c:v>0.67969580419549658</c:v>
                </c:pt>
                <c:pt idx="13">
                  <c:v>0.68054949737730319</c:v>
                </c:pt>
                <c:pt idx="14">
                  <c:v>0.67848543123509808</c:v>
                </c:pt>
                <c:pt idx="15">
                  <c:v>0.67298568618846466</c:v>
                </c:pt>
                <c:pt idx="16">
                  <c:v>0.66351048951013247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7-704C-AAFC-C2AED998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3648"/>
        <c:axId val="50782208"/>
      </c:areaChart>
      <c:areaChart>
        <c:grouping val="standard"/>
        <c:varyColors val="0"/>
        <c:ser>
          <c:idx val="0"/>
          <c:order val="2"/>
          <c:tx>
            <c:strRef>
              <c:f>'Chart Create Data'!$J$36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cat>
            <c:numRef>
              <c:f>'Chart Create Data'!$G$37:$G$53</c:f>
              <c:numCache>
                <c:formatCode>@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'Chart Create Data'!$J$37:$J$53</c:f>
              <c:numCache>
                <c:formatCode>@</c:formatCode>
                <c:ptCount val="17"/>
                <c:pt idx="0">
                  <c:v>2.5006759906734399</c:v>
                </c:pt>
                <c:pt idx="1">
                  <c:v>2.4974303977247336</c:v>
                </c:pt>
                <c:pt idx="2">
                  <c:v>2.4885215617690579</c:v>
                </c:pt>
                <c:pt idx="3">
                  <c:v>2.473599104018529</c:v>
                </c:pt>
                <c:pt idx="4">
                  <c:v>2.4525442890419069</c:v>
                </c:pt>
                <c:pt idx="5">
                  <c:v>2.4254700247645959</c:v>
                </c:pt>
                <c:pt idx="6">
                  <c:v>2.3927208624686456</c:v>
                </c:pt>
                <c:pt idx="7">
                  <c:v>2.3548729967927486</c:v>
                </c:pt>
                <c:pt idx="8">
                  <c:v>2.3127342657322423</c:v>
                </c:pt>
                <c:pt idx="9">
                  <c:v>2.2673441506391083</c:v>
                </c:pt>
                <c:pt idx="10">
                  <c:v>2.2199737762219725</c:v>
                </c:pt>
                <c:pt idx="11">
                  <c:v>2.1721259105461046</c:v>
                </c:pt>
                <c:pt idx="12">
                  <c:v>2.1255349650334199</c:v>
                </c:pt>
                <c:pt idx="13">
                  <c:v>2.0821669944624768</c:v>
                </c:pt>
                <c:pt idx="14">
                  <c:v>2.0442196969684781</c:v>
                </c:pt>
                <c:pt idx="15">
                  <c:v>2.0141224140432712</c:v>
                </c:pt>
                <c:pt idx="16">
                  <c:v>1.9945361305353473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7-704C-AAFC-C2AED998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61631"/>
        <c:axId val="1030203119"/>
      </c:areaChart>
      <c:lineChart>
        <c:grouping val="standard"/>
        <c:varyColors val="0"/>
        <c:ser>
          <c:idx val="3"/>
          <c:order val="1"/>
          <c:tx>
            <c:strRef>
              <c:f>'Chart Create Data'!$I$36</c:f>
              <c:strCache>
                <c:ptCount val="1"/>
                <c:pt idx="0">
                  <c:v>Top Judge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numRef>
              <c:f>'Structure Data Input '!$C$26:$C$39</c:f>
              <c:numCache>
                <c:formatCode>General</c:formatCode>
                <c:ptCount val="14"/>
                <c:pt idx="4" formatCode="0.00">
                  <c:v>6.27766</c:v>
                </c:pt>
                <c:pt idx="5" formatCode="0.00">
                  <c:v>3.7245200000000001</c:v>
                </c:pt>
                <c:pt idx="6" formatCode="0.00">
                  <c:v>4.6315799999999996</c:v>
                </c:pt>
                <c:pt idx="8" formatCode="0.00">
                  <c:v>5.3832199999999997</c:v>
                </c:pt>
                <c:pt idx="11" formatCode="0.00">
                  <c:v>4.0669300000000002</c:v>
                </c:pt>
              </c:numCache>
            </c:numRef>
          </c:cat>
          <c:val>
            <c:numRef>
              <c:f>'Chart Create Data'!$I$37:$I$53</c:f>
              <c:numCache>
                <c:formatCode>@</c:formatCode>
                <c:ptCount val="17"/>
                <c:pt idx="0">
                  <c:v>2.5006759906734399</c:v>
                </c:pt>
                <c:pt idx="1">
                  <c:v>2.4974303977247336</c:v>
                </c:pt>
                <c:pt idx="2">
                  <c:v>2.4885215617690579</c:v>
                </c:pt>
                <c:pt idx="3">
                  <c:v>2.473599104018529</c:v>
                </c:pt>
                <c:pt idx="4">
                  <c:v>2.4525442890419069</c:v>
                </c:pt>
                <c:pt idx="5">
                  <c:v>2.4254700247645959</c:v>
                </c:pt>
                <c:pt idx="6">
                  <c:v>2.3927208624686456</c:v>
                </c:pt>
                <c:pt idx="7">
                  <c:v>2.3548729967927486</c:v>
                </c:pt>
                <c:pt idx="8">
                  <c:v>2.3127342657322423</c:v>
                </c:pt>
                <c:pt idx="9">
                  <c:v>2.2673441506391083</c:v>
                </c:pt>
                <c:pt idx="10">
                  <c:v>2.2199737762219725</c:v>
                </c:pt>
                <c:pt idx="11">
                  <c:v>2.1721259105461046</c:v>
                </c:pt>
                <c:pt idx="12">
                  <c:v>2.1255349650334199</c:v>
                </c:pt>
                <c:pt idx="13">
                  <c:v>2.0821669944624768</c:v>
                </c:pt>
                <c:pt idx="14">
                  <c:v>2.0442196969684781</c:v>
                </c:pt>
                <c:pt idx="15">
                  <c:v>2.0141224140432712</c:v>
                </c:pt>
                <c:pt idx="16">
                  <c:v>1.9945361305353473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47-704C-AAFC-C2AED998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63648"/>
        <c:axId val="50782208"/>
      </c:lineChart>
      <c:scatterChart>
        <c:scatterStyle val="lineMarker"/>
        <c:varyColors val="0"/>
        <c:ser>
          <c:idx val="4"/>
          <c:order val="4"/>
          <c:spPr>
            <a:ln w="28575">
              <a:noFill/>
            </a:ln>
          </c:spPr>
          <c:marker>
            <c:symbol val="circle"/>
            <c:size val="13"/>
            <c:spPr>
              <a:solidFill>
                <a:sysClr val="windowText" lastClr="000000">
                  <a:lumMod val="65000"/>
                  <a:lumOff val="35000"/>
                </a:sysClr>
              </a:solidFill>
              <a:ln w="12700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C47-704C-AAFC-C2AED998270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C47-704C-AAFC-C2AED998270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C47-704C-AAFC-C2AED998270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C47-704C-AAFC-C2AED998270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EC02DD-1685-B947-9487-79A938BC7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C47-704C-AAFC-C2AED998270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4D214D7-C785-4E47-856C-1D670120B5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C47-704C-AAFC-C2AED998270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251B88-1882-3E4C-920F-FCF0FD9F8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C47-704C-AAFC-C2AED998270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C47-704C-AAFC-C2AED998270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211C824-9ECE-C745-8BC9-F26035B6EA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C47-704C-AAFC-C2AED998270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C47-704C-AAFC-C2AED998270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C47-704C-AAFC-C2AED998270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BCD2978-6A25-654B-8639-711C62BD2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C47-704C-AAFC-C2AED998270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C47-704C-AAFC-C2AED998270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C47-704C-AAFC-C2AED99827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'Structure Data Input '!$T$9:$T$22</c:f>
              <c:numCache>
                <c:formatCode>General</c:formatCode>
                <c:ptCount val="14"/>
                <c:pt idx="0">
                  <c:v>8.7080500000000001</c:v>
                </c:pt>
                <c:pt idx="1">
                  <c:v>8.8914000000000009</c:v>
                </c:pt>
                <c:pt idx="2">
                  <c:v>5.2107999999999999</c:v>
                </c:pt>
                <c:pt idx="3">
                  <c:v>7.6831100000000001</c:v>
                </c:pt>
                <c:pt idx="4">
                  <c:v>7.27766</c:v>
                </c:pt>
                <c:pt idx="5">
                  <c:v>4.7245200000000001</c:v>
                </c:pt>
                <c:pt idx="6">
                  <c:v>5.6315799999999996</c:v>
                </c:pt>
                <c:pt idx="7">
                  <c:v>6.46373</c:v>
                </c:pt>
                <c:pt idx="8">
                  <c:v>6.3832199999999997</c:v>
                </c:pt>
                <c:pt idx="9">
                  <c:v>5.0642399999999999</c:v>
                </c:pt>
                <c:pt idx="10">
                  <c:v>5.3298300000000003</c:v>
                </c:pt>
                <c:pt idx="11">
                  <c:v>5.0669300000000002</c:v>
                </c:pt>
                <c:pt idx="12">
                  <c:v>5.6095800000000002</c:v>
                </c:pt>
                <c:pt idx="13">
                  <c:v>7.32</c:v>
                </c:pt>
              </c:numCache>
            </c:numRef>
          </c:xVal>
          <c:yVal>
            <c:numRef>
              <c:f>'Structure Data Input '!$D$26:$D$39</c:f>
              <c:numCache>
                <c:formatCode>General</c:formatCode>
                <c:ptCount val="14"/>
                <c:pt idx="4" formatCode="0.00">
                  <c:v>2.5022000000000002</c:v>
                </c:pt>
                <c:pt idx="5" formatCode="0.00">
                  <c:v>1.75098</c:v>
                </c:pt>
                <c:pt idx="6" formatCode="0.00">
                  <c:v>1.6989700000000001</c:v>
                </c:pt>
                <c:pt idx="8" formatCode="0.00">
                  <c:v>2.0178199999999999</c:v>
                </c:pt>
                <c:pt idx="11" formatCode="0.00">
                  <c:v>0.57642000000000004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'Structure Data Input '!$B$26:$B$39</c15:f>
                <c15:dlblRangeCache>
                  <c:ptCount val="14"/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8">
                    <c:v>9</c:v>
                  </c:pt>
                  <c:pt idx="11">
                    <c:v>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8C47-704C-AAFC-C2AED998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61631"/>
        <c:axId val="1030203119"/>
      </c:scatterChart>
      <c:catAx>
        <c:axId val="50763648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tint val="75000"/>
                  <a:shade val="95000"/>
                  <a:satMod val="105000"/>
                  <a:alpha val="62378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200"/>
                  <a:t>Velocity (feet per second)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100" b="1"/>
            </a:pPr>
            <a:endParaRPr lang="en-US"/>
          </a:p>
        </c:txPr>
        <c:crossAx val="50782208"/>
        <c:crosses val="autoZero"/>
        <c:auto val="0"/>
        <c:lblAlgn val="ctr"/>
        <c:lblOffset val="0"/>
        <c:tickLblSkip val="2"/>
        <c:noMultiLvlLbl val="0"/>
      </c:catAx>
      <c:valAx>
        <c:axId val="50782208"/>
        <c:scaling>
          <c:orientation val="minMax"/>
          <c:max val="3.5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Depth (Feet)</a:t>
                </a:r>
              </a:p>
            </c:rich>
          </c:tx>
          <c:layout>
            <c:manualLayout>
              <c:xMode val="edge"/>
              <c:yMode val="edge"/>
              <c:x val="7.15895969463628E-4"/>
              <c:y val="0.27827909011373581"/>
            </c:manualLayout>
          </c:layout>
          <c:overlay val="0"/>
        </c:title>
        <c:numFmt formatCode="#,##0" sourceLinked="0"/>
        <c:majorTickMark val="in"/>
        <c:minorTickMark val="in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100" b="1"/>
            </a:pPr>
            <a:endParaRPr lang="en-US"/>
          </a:p>
        </c:txPr>
        <c:crossAx val="50763648"/>
        <c:crossesAt val="1"/>
        <c:crossBetween val="midCat"/>
        <c:majorUnit val="1"/>
        <c:minorUnit val="0.5"/>
      </c:valAx>
      <c:valAx>
        <c:axId val="1030203119"/>
        <c:scaling>
          <c:orientation val="minMax"/>
          <c:max val="3.5"/>
          <c:min val="0"/>
        </c:scaling>
        <c:delete val="0"/>
        <c:axPos val="r"/>
        <c:numFmt formatCode="@" sourceLinked="1"/>
        <c:majorTickMark val="none"/>
        <c:minorTickMark val="none"/>
        <c:tickLblPos val="none"/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462961631"/>
        <c:crosses val="max"/>
        <c:crossBetween val="midCat"/>
        <c:majorUnit val="5"/>
        <c:minorUnit val="1"/>
      </c:valAx>
      <c:catAx>
        <c:axId val="462961631"/>
        <c:scaling>
          <c:orientation val="minMax"/>
        </c:scaling>
        <c:delete val="1"/>
        <c:axPos val="t"/>
        <c:numFmt formatCode="@" sourceLinked="1"/>
        <c:majorTickMark val="none"/>
        <c:minorTickMark val="none"/>
        <c:tickLblPos val="nextTo"/>
        <c:crossAx val="1030203119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110841913991544E-2"/>
          <c:y val="3.0407407407407407E-2"/>
          <c:w val="0.88705885322027034"/>
          <c:h val="0.80775742836377695"/>
        </c:manualLayout>
      </c:layout>
      <c:areaChart>
        <c:grouping val="stacked"/>
        <c:varyColors val="0"/>
        <c:ser>
          <c:idx val="2"/>
          <c:order val="0"/>
          <c:tx>
            <c:strRef>
              <c:f>'Chart Create Data'!$B$36</c:f>
              <c:strCache>
                <c:ptCount val="1"/>
                <c:pt idx="0">
                  <c:v>Top low</c:v>
                </c:pt>
              </c:strCache>
            </c:strRef>
          </c:tx>
          <c:spPr>
            <a:solidFill>
              <a:srgbClr val="00B050">
                <a:alpha val="40000"/>
              </a:srgbClr>
            </a:solidFill>
          </c:spP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Data'!$B$37:$B$62</c:f>
              <c:numCache>
                <c:formatCode>@</c:formatCode>
                <c:ptCount val="26"/>
                <c:pt idx="0">
                  <c:v>3.01517816478201</c:v>
                </c:pt>
                <c:pt idx="1">
                  <c:v>2.9741349090091669</c:v>
                </c:pt>
                <c:pt idx="2">
                  <c:v>2.8896144991452273</c:v>
                </c:pt>
                <c:pt idx="3">
                  <c:v>2.7691575464241147</c:v>
                </c:pt>
                <c:pt idx="4">
                  <c:v>2.6198060770502751</c:v>
                </c:pt>
                <c:pt idx="5">
                  <c:v>2.448103532198675</c:v>
                </c:pt>
                <c:pt idx="6">
                  <c:v>2.2600947680148011</c:v>
                </c:pt>
                <c:pt idx="7">
                  <c:v>2.0613260556146638</c:v>
                </c:pt>
                <c:pt idx="8">
                  <c:v>1.8568450810847925</c:v>
                </c:pt>
                <c:pt idx="9">
                  <c:v>1.6512009454822387</c:v>
                </c:pt>
                <c:pt idx="10">
                  <c:v>1.4484441648345758</c:v>
                </c:pt>
                <c:pt idx="11">
                  <c:v>1.2521266701398976</c:v>
                </c:pt>
                <c:pt idx="12">
                  <c:v>1.0653018073668192</c:v>
                </c:pt>
                <c:pt idx="13">
                  <c:v>0.89052433745447734</c:v>
                </c:pt>
                <c:pt idx="14">
                  <c:v>0.72985043631252955</c:v>
                </c:pt>
                <c:pt idx="15">
                  <c:v>0.58483769482115555</c:v>
                </c:pt>
                <c:pt idx="16">
                  <c:v>0.45654511883105586</c:v>
                </c:pt>
                <c:pt idx="17">
                  <c:v>0.34553312916345069</c:v>
                </c:pt>
                <c:pt idx="18">
                  <c:v>0.25186356161008172</c:v>
                </c:pt>
                <c:pt idx="19">
                  <c:v>0.17509966693321877</c:v>
                </c:pt>
                <c:pt idx="20">
                  <c:v>0.11430611086564069</c:v>
                </c:pt>
                <c:pt idx="21">
                  <c:v>6.8048974110659355E-2</c:v>
                </c:pt>
                <c:pt idx="22">
                  <c:v>3.4395752342097463E-2</c:v>
                </c:pt>
                <c:pt idx="23">
                  <c:v>1.0915356204305393E-2</c:v>
                </c:pt>
                <c:pt idx="24">
                  <c:v>-5.3218886878387828E-3</c:v>
                </c:pt>
                <c:pt idx="25">
                  <c:v>-1.7744241748952394E-2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C-8247-B096-491AFE3E2F5C}"/>
            </c:ext>
          </c:extLst>
        </c:ser>
        <c:ser>
          <c:idx val="1"/>
          <c:order val="3"/>
          <c:tx>
            <c:strRef>
              <c:f>'Chart Create Data'!$E$36</c:f>
              <c:strCache>
                <c:ptCount val="1"/>
                <c:pt idx="0">
                  <c:v>Differec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</c:spP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Data'!$E$37:$E$62</c:f>
              <c:numCache>
                <c:formatCode>@</c:formatCode>
                <c:ptCount val="26"/>
                <c:pt idx="0">
                  <c:v>2.98482183521799</c:v>
                </c:pt>
                <c:pt idx="1">
                  <c:v>2.9998665997807095</c:v>
                </c:pt>
                <c:pt idx="2">
                  <c:v>3.0070426446988945</c:v>
                </c:pt>
                <c:pt idx="3">
                  <c:v>3.0043125150891923</c:v>
                </c:pt>
                <c:pt idx="4">
                  <c:v>2.9899836372142365</c:v>
                </c:pt>
                <c:pt idx="5">
                  <c:v>2.9627083184826528</c:v>
                </c:pt>
                <c:pt idx="6">
                  <c:v>2.9214837474490554</c:v>
                </c:pt>
                <c:pt idx="7">
                  <c:v>2.8656519938140455</c:v>
                </c:pt>
                <c:pt idx="8">
                  <c:v>2.7949000084242139</c:v>
                </c:pt>
                <c:pt idx="9">
                  <c:v>2.7092596232721418</c:v>
                </c:pt>
                <c:pt idx="10">
                  <c:v>2.6091075514963968</c:v>
                </c:pt>
                <c:pt idx="11">
                  <c:v>2.4951653873815358</c:v>
                </c:pt>
                <c:pt idx="12">
                  <c:v>2.3684996063581059</c:v>
                </c:pt>
                <c:pt idx="13">
                  <c:v>2.2305215650026438</c:v>
                </c:pt>
                <c:pt idx="14">
                  <c:v>2.0829875010376728</c:v>
                </c:pt>
                <c:pt idx="15">
                  <c:v>1.9279985333317042</c:v>
                </c:pt>
                <c:pt idx="16">
                  <c:v>1.7680006618992405</c:v>
                </c:pt>
                <c:pt idx="17">
                  <c:v>1.6057847679007735</c:v>
                </c:pt>
                <c:pt idx="18">
                  <c:v>1.4444866136427845</c:v>
                </c:pt>
                <c:pt idx="19">
                  <c:v>1.2875868425777344</c:v>
                </c:pt>
                <c:pt idx="20">
                  <c:v>1.1389109793040917</c:v>
                </c:pt>
                <c:pt idx="21">
                  <c:v>1.0026294295662912</c:v>
                </c:pt>
                <c:pt idx="22">
                  <c:v>0.88325748025477546</c:v>
                </c:pt>
                <c:pt idx="23">
                  <c:v>0.78565529940596557</c:v>
                </c:pt>
                <c:pt idx="24">
                  <c:v>0.71502793620226912</c:v>
                </c:pt>
                <c:pt idx="25">
                  <c:v>0.67692532097209623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C-8247-B096-491AFE3E2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3648"/>
        <c:axId val="50782208"/>
      </c:areaChart>
      <c:areaChart>
        <c:grouping val="standard"/>
        <c:varyColors val="0"/>
        <c:ser>
          <c:idx val="0"/>
          <c:order val="2"/>
          <c:tx>
            <c:strRef>
              <c:f>'Chart Create Data'!$D$36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Data'!$D$37:$D$62</c:f>
              <c:numCache>
                <c:formatCode>@</c:formatCode>
                <c:ptCount val="26"/>
                <c:pt idx="0">
                  <c:v>6</c:v>
                </c:pt>
                <c:pt idx="1">
                  <c:v>5.9740015087898763</c:v>
                </c:pt>
                <c:pt idx="2">
                  <c:v>5.8966571438441218</c:v>
                </c:pt>
                <c:pt idx="3">
                  <c:v>5.773470061513307</c:v>
                </c:pt>
                <c:pt idx="4">
                  <c:v>5.6097897142645117</c:v>
                </c:pt>
                <c:pt idx="5">
                  <c:v>5.4108118506813279</c:v>
                </c:pt>
                <c:pt idx="6">
                  <c:v>5.1815785154638565</c:v>
                </c:pt>
                <c:pt idx="7">
                  <c:v>4.9269780494287092</c:v>
                </c:pt>
                <c:pt idx="8">
                  <c:v>4.6517450895090064</c:v>
                </c:pt>
                <c:pt idx="9">
                  <c:v>4.3604605687543803</c:v>
                </c:pt>
                <c:pt idx="10">
                  <c:v>4.0575517163309724</c:v>
                </c:pt>
                <c:pt idx="11">
                  <c:v>3.7472920575214337</c:v>
                </c:pt>
                <c:pt idx="12">
                  <c:v>3.4338014137249253</c:v>
                </c:pt>
                <c:pt idx="13">
                  <c:v>3.1210459024571211</c:v>
                </c:pt>
                <c:pt idx="14">
                  <c:v>2.8128379373502024</c:v>
                </c:pt>
                <c:pt idx="15">
                  <c:v>2.5128362281528598</c:v>
                </c:pt>
                <c:pt idx="16">
                  <c:v>2.2245457807302964</c:v>
                </c:pt>
                <c:pt idx="17">
                  <c:v>1.9513178970642242</c:v>
                </c:pt>
                <c:pt idx="18">
                  <c:v>1.6963501752528662</c:v>
                </c:pt>
                <c:pt idx="19">
                  <c:v>1.4626865095109531</c:v>
                </c:pt>
                <c:pt idx="20">
                  <c:v>1.2532170901697324</c:v>
                </c:pt>
                <c:pt idx="21">
                  <c:v>1.0706784036769506</c:v>
                </c:pt>
                <c:pt idx="22">
                  <c:v>0.91765323259687293</c:v>
                </c:pt>
                <c:pt idx="23">
                  <c:v>0.79657065561027096</c:v>
                </c:pt>
                <c:pt idx="24">
                  <c:v>0.70970604751443034</c:v>
                </c:pt>
                <c:pt idx="25">
                  <c:v>0.65918107922314384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C-8247-B096-491AFE3E2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61631"/>
        <c:axId val="1030203119"/>
      </c:areaChart>
      <c:lineChart>
        <c:grouping val="standard"/>
        <c:varyColors val="0"/>
        <c:ser>
          <c:idx val="3"/>
          <c:order val="1"/>
          <c:tx>
            <c:strRef>
              <c:f>'Chart Create Data'!$C$36</c:f>
              <c:strCache>
                <c:ptCount val="1"/>
                <c:pt idx="0">
                  <c:v>Top Judge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Data'!$C$37:$C$62</c:f>
              <c:numCache>
                <c:formatCode>@</c:formatCode>
                <c:ptCount val="26"/>
                <c:pt idx="0">
                  <c:v>6</c:v>
                </c:pt>
                <c:pt idx="1">
                  <c:v>5.9740015087898763</c:v>
                </c:pt>
                <c:pt idx="2">
                  <c:v>5.8966571438441218</c:v>
                </c:pt>
                <c:pt idx="3">
                  <c:v>5.773470061513307</c:v>
                </c:pt>
                <c:pt idx="4">
                  <c:v>5.6097897142645117</c:v>
                </c:pt>
                <c:pt idx="5">
                  <c:v>5.4108118506813279</c:v>
                </c:pt>
                <c:pt idx="6">
                  <c:v>5.1815785154638565</c:v>
                </c:pt>
                <c:pt idx="7">
                  <c:v>4.9269780494287092</c:v>
                </c:pt>
                <c:pt idx="8">
                  <c:v>4.6517450895090064</c:v>
                </c:pt>
                <c:pt idx="9">
                  <c:v>4.3604605687543803</c:v>
                </c:pt>
                <c:pt idx="10">
                  <c:v>4.0575517163309724</c:v>
                </c:pt>
                <c:pt idx="11">
                  <c:v>3.7472920575214337</c:v>
                </c:pt>
                <c:pt idx="12">
                  <c:v>3.4338014137249253</c:v>
                </c:pt>
                <c:pt idx="13">
                  <c:v>3.1210459024571211</c:v>
                </c:pt>
                <c:pt idx="14">
                  <c:v>2.8128379373502024</c:v>
                </c:pt>
                <c:pt idx="15">
                  <c:v>2.5128362281528598</c:v>
                </c:pt>
                <c:pt idx="16">
                  <c:v>2.2245457807302964</c:v>
                </c:pt>
                <c:pt idx="17">
                  <c:v>1.9513178970642242</c:v>
                </c:pt>
                <c:pt idx="18">
                  <c:v>1.6963501752528662</c:v>
                </c:pt>
                <c:pt idx="19">
                  <c:v>1.4626865095109531</c:v>
                </c:pt>
                <c:pt idx="20">
                  <c:v>1.2532170901697324</c:v>
                </c:pt>
                <c:pt idx="21">
                  <c:v>1.0706784036769506</c:v>
                </c:pt>
                <c:pt idx="22">
                  <c:v>0.91765323259687293</c:v>
                </c:pt>
                <c:pt idx="23">
                  <c:v>0.79657065561027096</c:v>
                </c:pt>
                <c:pt idx="24">
                  <c:v>0.70970604751443034</c:v>
                </c:pt>
                <c:pt idx="25">
                  <c:v>0.65918107922314384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0C-8247-B096-491AFE3E2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63648"/>
        <c:axId val="50782208"/>
      </c:lineChart>
      <c:scatterChart>
        <c:scatterStyle val="lineMarker"/>
        <c:varyColors val="0"/>
        <c:ser>
          <c:idx val="4"/>
          <c:order val="4"/>
          <c:spPr>
            <a:ln w="25400">
              <a:noFill/>
            </a:ln>
          </c:spPr>
          <c:marker>
            <c:symbol val="circle"/>
            <c:size val="13"/>
            <c:spPr>
              <a:solidFill>
                <a:schemeClr val="tx1">
                  <a:lumMod val="65000"/>
                  <a:lumOff val="35000"/>
                </a:schemeClr>
              </a:solidFill>
              <a:ln w="12700">
                <a:noFill/>
                <a:headEnd type="none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DDFBFDC-6E26-BB43-AA84-FEC3622901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0C-8247-B096-491AFE3E2F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0C-8247-B096-491AFE3E2F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9D3A759-AFC7-9248-BD74-33F41FC0F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0C-8247-B096-491AFE3E2F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D6EED2-75FD-DB44-96EE-839EEC402F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0C-8247-B096-491AFE3E2F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0C-8247-B096-491AFE3E2F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0C-8247-B096-491AFE3E2F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0C-8247-B096-491AFE3E2F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EE1DCD5-E90B-9548-BCCA-C0219941DE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0C-8247-B096-491AFE3E2F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0C-8247-B096-491AFE3E2F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C41DD92-CF5B-5546-B515-CD6E9CF8A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0C-8247-B096-491AFE3E2F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9A9FD3C-54E8-5048-937B-DC0469680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0C-8247-B096-491AFE3E2F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50C-8247-B096-491AFE3E2F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465CF6B-EF0A-CC40-AD45-5351F6633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50C-8247-B096-491AFE3E2F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6BF30DE-77C8-3442-A77B-C68439621E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50C-8247-B096-491AFE3E2F5C}"/>
                </c:ext>
              </c:extLst>
            </c:dLbl>
            <c:numFmt formatCode="0.00_);[Red]\(0.00\)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 wrap="none" lIns="0" tIns="0" rIns="0" bIns="0" anchor="ctr" anchorCtr="0"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xVal>
            <c:numRef>
              <c:f>'Structure Data Input '!$T$9:$T$22</c:f>
              <c:numCache>
                <c:formatCode>General</c:formatCode>
                <c:ptCount val="14"/>
                <c:pt idx="0">
                  <c:v>8.7080500000000001</c:v>
                </c:pt>
                <c:pt idx="1">
                  <c:v>8.8914000000000009</c:v>
                </c:pt>
                <c:pt idx="2">
                  <c:v>5.2107999999999999</c:v>
                </c:pt>
                <c:pt idx="3">
                  <c:v>7.6831100000000001</c:v>
                </c:pt>
                <c:pt idx="4">
                  <c:v>7.27766</c:v>
                </c:pt>
                <c:pt idx="5">
                  <c:v>4.7245200000000001</c:v>
                </c:pt>
                <c:pt idx="6">
                  <c:v>5.6315799999999996</c:v>
                </c:pt>
                <c:pt idx="7">
                  <c:v>6.46373</c:v>
                </c:pt>
                <c:pt idx="8">
                  <c:v>6.3832199999999997</c:v>
                </c:pt>
                <c:pt idx="9">
                  <c:v>5.0642399999999999</c:v>
                </c:pt>
                <c:pt idx="10">
                  <c:v>5.3298300000000003</c:v>
                </c:pt>
                <c:pt idx="11">
                  <c:v>5.0669300000000002</c:v>
                </c:pt>
                <c:pt idx="12">
                  <c:v>5.6095800000000002</c:v>
                </c:pt>
                <c:pt idx="13">
                  <c:v>7.32</c:v>
                </c:pt>
              </c:numCache>
            </c:numRef>
          </c:xVal>
          <c:yVal>
            <c:numRef>
              <c:f>'Structure Data Input '!$D$9:$D$22</c:f>
              <c:numCache>
                <c:formatCode>0.00</c:formatCode>
                <c:ptCount val="14"/>
                <c:pt idx="0">
                  <c:v>2.9003899999999998</c:v>
                </c:pt>
                <c:pt idx="2">
                  <c:v>1.48193</c:v>
                </c:pt>
                <c:pt idx="3">
                  <c:v>1.6210899999999999</c:v>
                </c:pt>
                <c:pt idx="7">
                  <c:v>0.67554000000000003</c:v>
                </c:pt>
                <c:pt idx="9">
                  <c:v>1.3481399999999999</c:v>
                </c:pt>
                <c:pt idx="10">
                  <c:v>0.60155999999999998</c:v>
                </c:pt>
                <c:pt idx="12">
                  <c:v>1.2714799999999999</c:v>
                </c:pt>
                <c:pt idx="13">
                  <c:v>0.04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'Structure Data Input '!$B$9:$B$22</c15:f>
                <c15:dlblRangeCache>
                  <c:ptCount val="14"/>
                  <c:pt idx="0">
                    <c:v>1</c:v>
                  </c:pt>
                  <c:pt idx="2">
                    <c:v>3</c:v>
                  </c:pt>
                  <c:pt idx="3">
                    <c:v>4</c:v>
                  </c:pt>
                  <c:pt idx="4">
                    <c:v> </c:v>
                  </c:pt>
                  <c:pt idx="7">
                    <c:v>8</c:v>
                  </c:pt>
                  <c:pt idx="9">
                    <c:v>10</c:v>
                  </c:pt>
                  <c:pt idx="10">
                    <c:v>11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150C-8247-B096-491AFE3E2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3648"/>
        <c:axId val="50782208"/>
      </c:scatterChart>
      <c:catAx>
        <c:axId val="507636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  <a:alpha val="62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Velocity (feet per second)</a:t>
                </a:r>
              </a:p>
            </c:rich>
          </c:tx>
          <c:layout>
            <c:manualLayout>
              <c:xMode val="edge"/>
              <c:yMode val="edge"/>
              <c:x val="0.34868127486458622"/>
              <c:y val="0.90536163649646884"/>
            </c:manualLayout>
          </c:layout>
          <c:overlay val="0"/>
        </c:title>
        <c:numFmt formatCode="#,##0" sourceLinked="0"/>
        <c:majorTickMark val="in"/>
        <c:minorTickMark val="none"/>
        <c:tickLblPos val="nextTo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100" b="1"/>
            </a:pPr>
            <a:endParaRPr lang="en-US"/>
          </a:p>
        </c:txPr>
        <c:crossAx val="50782208"/>
        <c:crosses val="autoZero"/>
        <c:auto val="0"/>
        <c:lblAlgn val="ctr"/>
        <c:lblOffset val="0"/>
        <c:tickLblSkip val="5"/>
        <c:noMultiLvlLbl val="1"/>
      </c:catAx>
      <c:valAx>
        <c:axId val="50782208"/>
        <c:scaling>
          <c:orientation val="minMax"/>
          <c:max val="10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Depth (feet)</a:t>
                </a:r>
              </a:p>
            </c:rich>
          </c:tx>
          <c:overlay val="0"/>
        </c:title>
        <c:numFmt formatCode="#,##0" sourceLinked="0"/>
        <c:majorTickMark val="in"/>
        <c:minorTickMark val="in"/>
        <c:tickLblPos val="low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100" b="1"/>
            </a:pPr>
            <a:endParaRPr lang="en-US"/>
          </a:p>
        </c:txPr>
        <c:crossAx val="50763648"/>
        <c:crosses val="autoZero"/>
        <c:crossBetween val="midCat"/>
        <c:majorUnit val="5"/>
        <c:minorUnit val="1"/>
      </c:valAx>
      <c:valAx>
        <c:axId val="1030203119"/>
        <c:scaling>
          <c:orientation val="minMax"/>
          <c:max val="10"/>
        </c:scaling>
        <c:delete val="0"/>
        <c:axPos val="r"/>
        <c:numFmt formatCode="@" sourceLinked="1"/>
        <c:majorTickMark val="none"/>
        <c:minorTickMark val="none"/>
        <c:tickLblPos val="none"/>
        <c:crossAx val="462961631"/>
        <c:crosses val="max"/>
        <c:crossBetween val="midCat"/>
        <c:majorUnit val="5"/>
        <c:minorUnit val="1"/>
      </c:valAx>
      <c:catAx>
        <c:axId val="46296163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30203119"/>
        <c:crosses val="max"/>
        <c:auto val="0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span"/>
    <c:showDLblsOverMax val="0"/>
  </c:chart>
  <c:spPr>
    <a:ln>
      <a:noFill/>
    </a:ln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70783574866"/>
          <c:y val="7.0933553805896526E-2"/>
          <c:w val="0.84568281946940382"/>
          <c:h val="0.67646011781086712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ysClr val="windowText" lastClr="000000">
                  <a:lumMod val="65000"/>
                  <a:lumOff val="35000"/>
                </a:sys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BC1853C-2AE6-3642-BD59-93BBAE5EC4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1E9-5B43-B1FD-65AFF67392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0720348-AC09-BF4B-87D1-9DF6FCD16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1E9-5B43-B1FD-65AFF67392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1E9-5B43-B1FD-65AFF67392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1E9-5B43-B1FD-65AFF67392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1E9-5B43-B1FD-65AFF67392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74C8333-4843-CB4D-A5D0-42D415E79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1E9-5B43-B1FD-65AFF673928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1E9-5B43-B1FD-65AFF673928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352BAC1-CEB9-CA4B-AE63-A187F2180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1E9-5B43-B1FD-65AFF673928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6D01860-94FC-1845-B04C-208104717E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1E9-5B43-B1FD-65AFF673928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1E9-5B43-B1FD-65AFF673928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43790F3-7E01-EC41-ACB7-4B365E5DB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1E9-5B43-B1FD-65AFF673928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7AB85AF-3E9F-1848-A2A6-3148F7E14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1E9-5B43-B1FD-65AFF6739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'Structure Data Input '!$C$11:$C$22</c:f>
              <c:numCache>
                <c:formatCode>0.00</c:formatCode>
                <c:ptCount val="12"/>
                <c:pt idx="0">
                  <c:v>4.2107999999999999</c:v>
                </c:pt>
                <c:pt idx="1">
                  <c:v>6.6831100000000001</c:v>
                </c:pt>
                <c:pt idx="5">
                  <c:v>5.46373</c:v>
                </c:pt>
                <c:pt idx="7">
                  <c:v>4.0642399999999999</c:v>
                </c:pt>
                <c:pt idx="8">
                  <c:v>4.3298300000000003</c:v>
                </c:pt>
                <c:pt idx="10">
                  <c:v>4.6095800000000002</c:v>
                </c:pt>
                <c:pt idx="11">
                  <c:v>6.32</c:v>
                </c:pt>
              </c:numCache>
            </c:numRef>
          </c:xVal>
          <c:yVal>
            <c:numRef>
              <c:f>'Structure Data Input '!$D$11:$D$22</c:f>
              <c:numCache>
                <c:formatCode>0.00</c:formatCode>
                <c:ptCount val="12"/>
                <c:pt idx="0">
                  <c:v>1.48193</c:v>
                </c:pt>
                <c:pt idx="1">
                  <c:v>1.6210899999999999</c:v>
                </c:pt>
                <c:pt idx="5">
                  <c:v>0.67554000000000003</c:v>
                </c:pt>
                <c:pt idx="7">
                  <c:v>1.3481399999999999</c:v>
                </c:pt>
                <c:pt idx="8">
                  <c:v>0.60155999999999998</c:v>
                </c:pt>
                <c:pt idx="10">
                  <c:v>1.2714799999999999</c:v>
                </c:pt>
                <c:pt idx="11">
                  <c:v>0.04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'Structure Data Input '!$B$11:$B$22</c15:f>
                <c15:dlblRangeCache>
                  <c:ptCount val="12"/>
                  <c:pt idx="0">
                    <c:v>3</c:v>
                  </c:pt>
                  <c:pt idx="1">
                    <c:v>4</c:v>
                  </c:pt>
                  <c:pt idx="2">
                    <c:v> </c:v>
                  </c:pt>
                  <c:pt idx="5">
                    <c:v>8</c:v>
                  </c:pt>
                  <c:pt idx="7">
                    <c:v>10</c:v>
                  </c:pt>
                  <c:pt idx="8">
                    <c:v>11</c:v>
                  </c:pt>
                  <c:pt idx="10">
                    <c:v>13</c:v>
                  </c:pt>
                  <c:pt idx="11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1E9-5B43-B1FD-65AFF6739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315311"/>
        <c:axId val="1937317023"/>
      </c:scatterChart>
      <c:valAx>
        <c:axId val="1937315311"/>
        <c:scaling>
          <c:orientation val="minMax"/>
          <c:max val="6"/>
          <c:min val="4"/>
        </c:scaling>
        <c:delete val="0"/>
        <c:axPos val="b"/>
        <c:minorGridlines>
          <c:spPr>
            <a:ln w="9525" cap="flat" cmpd="sng" algn="ctr">
              <a:solidFill>
                <a:sysClr val="window" lastClr="FFFFFF">
                  <a:lumMod val="50000"/>
                  <a:alpha val="62000"/>
                </a:sysClr>
              </a:solidFill>
              <a:round/>
            </a:ln>
            <a:effectLst/>
          </c:spPr>
        </c:minorGridlines>
        <c:numFmt formatCode="0" sourceLinked="0"/>
        <c:majorTickMark val="in"/>
        <c:minorTickMark val="in"/>
        <c:tickLblPos val="nextTo"/>
        <c:spPr>
          <a:noFill/>
          <a:ln w="158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317023"/>
        <c:crosses val="autoZero"/>
        <c:crossBetween val="midCat"/>
        <c:majorUnit val="1"/>
        <c:minorUnit val="0.5"/>
      </c:valAx>
      <c:valAx>
        <c:axId val="193731702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50000"/>
                  <a:alpha val="62000"/>
                </a:sysClr>
              </a:solidFill>
              <a:round/>
            </a:ln>
            <a:effectLst/>
          </c:spPr>
        </c:majorGridlines>
        <c:numFmt formatCode="0" sourceLinked="0"/>
        <c:majorTickMark val="in"/>
        <c:minorTickMark val="none"/>
        <c:tickLblPos val="nextTo"/>
        <c:spPr>
          <a:noFill/>
          <a:ln w="158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315311"/>
        <c:crosses val="autoZero"/>
        <c:crossBetween val="midCat"/>
        <c:minorUnit val="0.5"/>
      </c:valAx>
      <c:spPr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alpha val="35281"/>
      </a:sys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438027571291444E-2"/>
          <c:y val="9.1827344309234074E-2"/>
          <c:w val="0.75204097875837728"/>
          <c:h val="0.80156034359341444"/>
        </c:manualLayout>
      </c:layout>
      <c:areaChart>
        <c:grouping val="stacked"/>
        <c:varyColors val="0"/>
        <c:ser>
          <c:idx val="2"/>
          <c:order val="0"/>
          <c:tx>
            <c:strRef>
              <c:f>'Chart Create Data'!$B$36</c:f>
              <c:strCache>
                <c:ptCount val="1"/>
                <c:pt idx="0">
                  <c:v>Top low</c:v>
                </c:pt>
              </c:strCache>
            </c:strRef>
          </c:tx>
          <c:spPr>
            <a:solidFill>
              <a:srgbClr val="00B050">
                <a:alpha val="40000"/>
              </a:srgbClr>
            </a:solidFill>
          </c:spP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Data'!$B$37:$B$62</c:f>
              <c:numCache>
                <c:formatCode>@</c:formatCode>
                <c:ptCount val="26"/>
                <c:pt idx="0">
                  <c:v>3.01517816478201</c:v>
                </c:pt>
                <c:pt idx="1">
                  <c:v>2.9741349090091669</c:v>
                </c:pt>
                <c:pt idx="2">
                  <c:v>2.8896144991452273</c:v>
                </c:pt>
                <c:pt idx="3">
                  <c:v>2.7691575464241147</c:v>
                </c:pt>
                <c:pt idx="4">
                  <c:v>2.6198060770502751</c:v>
                </c:pt>
                <c:pt idx="5">
                  <c:v>2.448103532198675</c:v>
                </c:pt>
                <c:pt idx="6">
                  <c:v>2.2600947680148011</c:v>
                </c:pt>
                <c:pt idx="7">
                  <c:v>2.0613260556146638</c:v>
                </c:pt>
                <c:pt idx="8">
                  <c:v>1.8568450810847925</c:v>
                </c:pt>
                <c:pt idx="9">
                  <c:v>1.6512009454822387</c:v>
                </c:pt>
                <c:pt idx="10">
                  <c:v>1.4484441648345758</c:v>
                </c:pt>
                <c:pt idx="11">
                  <c:v>1.2521266701398976</c:v>
                </c:pt>
                <c:pt idx="12">
                  <c:v>1.0653018073668192</c:v>
                </c:pt>
                <c:pt idx="13">
                  <c:v>0.89052433745447734</c:v>
                </c:pt>
                <c:pt idx="14">
                  <c:v>0.72985043631252955</c:v>
                </c:pt>
                <c:pt idx="15">
                  <c:v>0.58483769482115555</c:v>
                </c:pt>
                <c:pt idx="16">
                  <c:v>0.45654511883105586</c:v>
                </c:pt>
                <c:pt idx="17">
                  <c:v>0.34553312916345069</c:v>
                </c:pt>
                <c:pt idx="18">
                  <c:v>0.25186356161008172</c:v>
                </c:pt>
                <c:pt idx="19">
                  <c:v>0.17509966693321877</c:v>
                </c:pt>
                <c:pt idx="20">
                  <c:v>0.11430611086564069</c:v>
                </c:pt>
                <c:pt idx="21">
                  <c:v>6.8048974110659355E-2</c:v>
                </c:pt>
                <c:pt idx="22">
                  <c:v>3.4395752342097463E-2</c:v>
                </c:pt>
                <c:pt idx="23">
                  <c:v>1.0915356204305393E-2</c:v>
                </c:pt>
                <c:pt idx="24">
                  <c:v>-5.3218886878387828E-3</c:v>
                </c:pt>
                <c:pt idx="25">
                  <c:v>-1.7744241748952394E-2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E-944A-AD91-5B79A7F75DBB}"/>
            </c:ext>
          </c:extLst>
        </c:ser>
        <c:ser>
          <c:idx val="1"/>
          <c:order val="3"/>
          <c:tx>
            <c:strRef>
              <c:f>'Chart Create Data'!$E$36</c:f>
              <c:strCache>
                <c:ptCount val="1"/>
                <c:pt idx="0">
                  <c:v>Differec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</c:spP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Data'!$E$37:$E$62</c:f>
              <c:numCache>
                <c:formatCode>@</c:formatCode>
                <c:ptCount val="26"/>
                <c:pt idx="0">
                  <c:v>2.98482183521799</c:v>
                </c:pt>
                <c:pt idx="1">
                  <c:v>2.9998665997807095</c:v>
                </c:pt>
                <c:pt idx="2">
                  <c:v>3.0070426446988945</c:v>
                </c:pt>
                <c:pt idx="3">
                  <c:v>3.0043125150891923</c:v>
                </c:pt>
                <c:pt idx="4">
                  <c:v>2.9899836372142365</c:v>
                </c:pt>
                <c:pt idx="5">
                  <c:v>2.9627083184826528</c:v>
                </c:pt>
                <c:pt idx="6">
                  <c:v>2.9214837474490554</c:v>
                </c:pt>
                <c:pt idx="7">
                  <c:v>2.8656519938140455</c:v>
                </c:pt>
                <c:pt idx="8">
                  <c:v>2.7949000084242139</c:v>
                </c:pt>
                <c:pt idx="9">
                  <c:v>2.7092596232721418</c:v>
                </c:pt>
                <c:pt idx="10">
                  <c:v>2.6091075514963968</c:v>
                </c:pt>
                <c:pt idx="11">
                  <c:v>2.4951653873815358</c:v>
                </c:pt>
                <c:pt idx="12">
                  <c:v>2.3684996063581059</c:v>
                </c:pt>
                <c:pt idx="13">
                  <c:v>2.2305215650026438</c:v>
                </c:pt>
                <c:pt idx="14">
                  <c:v>2.0829875010376728</c:v>
                </c:pt>
                <c:pt idx="15">
                  <c:v>1.9279985333317042</c:v>
                </c:pt>
                <c:pt idx="16">
                  <c:v>1.7680006618992405</c:v>
                </c:pt>
                <c:pt idx="17">
                  <c:v>1.6057847679007735</c:v>
                </c:pt>
                <c:pt idx="18">
                  <c:v>1.4444866136427845</c:v>
                </c:pt>
                <c:pt idx="19">
                  <c:v>1.2875868425777344</c:v>
                </c:pt>
                <c:pt idx="20">
                  <c:v>1.1389109793040917</c:v>
                </c:pt>
                <c:pt idx="21">
                  <c:v>1.0026294295662912</c:v>
                </c:pt>
                <c:pt idx="22">
                  <c:v>0.88325748025477546</c:v>
                </c:pt>
                <c:pt idx="23">
                  <c:v>0.78565529940596557</c:v>
                </c:pt>
                <c:pt idx="24">
                  <c:v>0.71502793620226912</c:v>
                </c:pt>
                <c:pt idx="25">
                  <c:v>0.67692532097209623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E-944A-AD91-5B79A7F7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3648"/>
        <c:axId val="50782208"/>
      </c:areaChart>
      <c:areaChart>
        <c:grouping val="standard"/>
        <c:varyColors val="0"/>
        <c:ser>
          <c:idx val="0"/>
          <c:order val="2"/>
          <c:tx>
            <c:strRef>
              <c:f>'Chart Create Data'!$D$36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Data'!$D$37:$D$62</c:f>
              <c:numCache>
                <c:formatCode>@</c:formatCode>
                <c:ptCount val="26"/>
                <c:pt idx="0">
                  <c:v>6</c:v>
                </c:pt>
                <c:pt idx="1">
                  <c:v>5.9740015087898763</c:v>
                </c:pt>
                <c:pt idx="2">
                  <c:v>5.8966571438441218</c:v>
                </c:pt>
                <c:pt idx="3">
                  <c:v>5.773470061513307</c:v>
                </c:pt>
                <c:pt idx="4">
                  <c:v>5.6097897142645117</c:v>
                </c:pt>
                <c:pt idx="5">
                  <c:v>5.4108118506813279</c:v>
                </c:pt>
                <c:pt idx="6">
                  <c:v>5.1815785154638565</c:v>
                </c:pt>
                <c:pt idx="7">
                  <c:v>4.9269780494287092</c:v>
                </c:pt>
                <c:pt idx="8">
                  <c:v>4.6517450895090064</c:v>
                </c:pt>
                <c:pt idx="9">
                  <c:v>4.3604605687543803</c:v>
                </c:pt>
                <c:pt idx="10">
                  <c:v>4.0575517163309724</c:v>
                </c:pt>
                <c:pt idx="11">
                  <c:v>3.7472920575214337</c:v>
                </c:pt>
                <c:pt idx="12">
                  <c:v>3.4338014137249253</c:v>
                </c:pt>
                <c:pt idx="13">
                  <c:v>3.1210459024571211</c:v>
                </c:pt>
                <c:pt idx="14">
                  <c:v>2.8128379373502024</c:v>
                </c:pt>
                <c:pt idx="15">
                  <c:v>2.5128362281528598</c:v>
                </c:pt>
                <c:pt idx="16">
                  <c:v>2.2245457807302964</c:v>
                </c:pt>
                <c:pt idx="17">
                  <c:v>1.9513178970642242</c:v>
                </c:pt>
                <c:pt idx="18">
                  <c:v>1.6963501752528662</c:v>
                </c:pt>
                <c:pt idx="19">
                  <c:v>1.4626865095109531</c:v>
                </c:pt>
                <c:pt idx="20">
                  <c:v>1.2532170901697324</c:v>
                </c:pt>
                <c:pt idx="21">
                  <c:v>1.0706784036769506</c:v>
                </c:pt>
                <c:pt idx="22">
                  <c:v>0.91765323259687293</c:v>
                </c:pt>
                <c:pt idx="23">
                  <c:v>0.79657065561027096</c:v>
                </c:pt>
                <c:pt idx="24">
                  <c:v>0.70970604751443034</c:v>
                </c:pt>
                <c:pt idx="25">
                  <c:v>0.65918107922314384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BE-944A-AD91-5B79A7F7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61631"/>
        <c:axId val="1030203119"/>
      </c:areaChart>
      <c:lineChart>
        <c:grouping val="standard"/>
        <c:varyColors val="0"/>
        <c:ser>
          <c:idx val="3"/>
          <c:order val="1"/>
          <c:tx>
            <c:strRef>
              <c:f>'Chart Create Data'!$C$36</c:f>
              <c:strCache>
                <c:ptCount val="1"/>
                <c:pt idx="0">
                  <c:v>Top Judge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numRef>
              <c:f>'Chart Create Data'!$A$37:$A$62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'Chart Create Data'!$C$37:$C$62</c:f>
              <c:numCache>
                <c:formatCode>@</c:formatCode>
                <c:ptCount val="26"/>
                <c:pt idx="0">
                  <c:v>6</c:v>
                </c:pt>
                <c:pt idx="1">
                  <c:v>5.9740015087898763</c:v>
                </c:pt>
                <c:pt idx="2">
                  <c:v>5.8966571438441218</c:v>
                </c:pt>
                <c:pt idx="3">
                  <c:v>5.773470061513307</c:v>
                </c:pt>
                <c:pt idx="4">
                  <c:v>5.6097897142645117</c:v>
                </c:pt>
                <c:pt idx="5">
                  <c:v>5.4108118506813279</c:v>
                </c:pt>
                <c:pt idx="6">
                  <c:v>5.1815785154638565</c:v>
                </c:pt>
                <c:pt idx="7">
                  <c:v>4.9269780494287092</c:v>
                </c:pt>
                <c:pt idx="8">
                  <c:v>4.6517450895090064</c:v>
                </c:pt>
                <c:pt idx="9">
                  <c:v>4.3604605687543803</c:v>
                </c:pt>
                <c:pt idx="10">
                  <c:v>4.0575517163309724</c:v>
                </c:pt>
                <c:pt idx="11">
                  <c:v>3.7472920575214337</c:v>
                </c:pt>
                <c:pt idx="12">
                  <c:v>3.4338014137249253</c:v>
                </c:pt>
                <c:pt idx="13">
                  <c:v>3.1210459024571211</c:v>
                </c:pt>
                <c:pt idx="14">
                  <c:v>2.8128379373502024</c:v>
                </c:pt>
                <c:pt idx="15">
                  <c:v>2.5128362281528598</c:v>
                </c:pt>
                <c:pt idx="16">
                  <c:v>2.2245457807302964</c:v>
                </c:pt>
                <c:pt idx="17">
                  <c:v>1.9513178970642242</c:v>
                </c:pt>
                <c:pt idx="18">
                  <c:v>1.6963501752528662</c:v>
                </c:pt>
                <c:pt idx="19">
                  <c:v>1.4626865095109531</c:v>
                </c:pt>
                <c:pt idx="20">
                  <c:v>1.2532170901697324</c:v>
                </c:pt>
                <c:pt idx="21">
                  <c:v>1.0706784036769506</c:v>
                </c:pt>
                <c:pt idx="22">
                  <c:v>0.91765323259687293</c:v>
                </c:pt>
                <c:pt idx="23">
                  <c:v>0.79657065561027096</c:v>
                </c:pt>
                <c:pt idx="24">
                  <c:v>0.70970604751443034</c:v>
                </c:pt>
                <c:pt idx="25">
                  <c:v>0.65918107922314384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BE-944A-AD91-5B79A7F7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63648"/>
        <c:axId val="50782208"/>
      </c:lineChart>
      <c:catAx>
        <c:axId val="50763648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tint val="75000"/>
                  <a:shade val="95000"/>
                  <a:satMod val="105000"/>
                  <a:alpha val="62378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Velocity (feet/sec)</a:t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50782208"/>
        <c:crosses val="autoZero"/>
        <c:auto val="0"/>
        <c:lblAlgn val="ctr"/>
        <c:lblOffset val="100"/>
        <c:tickLblSkip val="5"/>
        <c:noMultiLvlLbl val="1"/>
      </c:catAx>
      <c:valAx>
        <c:axId val="50782208"/>
        <c:scaling>
          <c:orientation val="minMax"/>
          <c:max val="10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Depth (feet)</a:t>
                </a:r>
              </a:p>
            </c:rich>
          </c:tx>
          <c:overlay val="0"/>
        </c:title>
        <c:numFmt formatCode="#,##0.0" sourceLinked="0"/>
        <c:majorTickMark val="in"/>
        <c:minorTickMark val="out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50763648"/>
        <c:crossesAt val="1"/>
        <c:crossBetween val="midCat"/>
        <c:majorUnit val="5"/>
        <c:minorUnit val="1"/>
      </c:valAx>
      <c:valAx>
        <c:axId val="1030203119"/>
        <c:scaling>
          <c:orientation val="minMax"/>
          <c:max val="10"/>
        </c:scaling>
        <c:delete val="0"/>
        <c:axPos val="r"/>
        <c:numFmt formatCode="@" sourceLinked="1"/>
        <c:majorTickMark val="none"/>
        <c:minorTickMark val="none"/>
        <c:tickLblPos val="nextTo"/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462961631"/>
        <c:crosses val="max"/>
        <c:crossBetween val="midCat"/>
        <c:majorUnit val="5"/>
        <c:minorUnit val="1"/>
      </c:valAx>
      <c:catAx>
        <c:axId val="46296163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tint val="75000"/>
                <a:shade val="95000"/>
                <a:satMod val="105000"/>
              </a:schemeClr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1030203119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span"/>
    <c:showDLblsOverMax val="0"/>
  </c:chart>
  <c:spPr>
    <a:ln>
      <a:noFill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438027571291444E-2"/>
          <c:y val="9.1827344309234074E-2"/>
          <c:w val="0.75204097875837728"/>
          <c:h val="0.80156034359341444"/>
        </c:manualLayout>
      </c:layout>
      <c:areaChart>
        <c:grouping val="stacked"/>
        <c:varyColors val="0"/>
        <c:ser>
          <c:idx val="2"/>
          <c:order val="0"/>
          <c:tx>
            <c:strRef>
              <c:f>'Chart Create Data'!$H$36</c:f>
              <c:strCache>
                <c:ptCount val="1"/>
                <c:pt idx="0">
                  <c:v>Top low</c:v>
                </c:pt>
              </c:strCache>
            </c:strRef>
          </c:tx>
          <c:spPr>
            <a:solidFill>
              <a:srgbClr val="00B050">
                <a:alpha val="40000"/>
              </a:srgbClr>
            </a:solidFill>
          </c:spPr>
          <c:cat>
            <c:numRef>
              <c:f>'Chart Create Data'!$G$37:$G$53</c:f>
              <c:numCache>
                <c:formatCode>@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'Chart Create Data'!$H$37:$H$53</c:f>
              <c:numCache>
                <c:formatCode>@</c:formatCode>
                <c:ptCount val="17"/>
                <c:pt idx="0">
                  <c:v>1.9001165501146999</c:v>
                </c:pt>
                <c:pt idx="1">
                  <c:v>1.8934473339141791</c:v>
                </c:pt>
                <c:pt idx="2">
                  <c:v>1.8795221445202108</c:v>
                </c:pt>
                <c:pt idx="3">
                  <c:v>1.8582462849630947</c:v>
                </c:pt>
                <c:pt idx="4">
                  <c:v>1.8297785547766281</c:v>
                </c:pt>
                <c:pt idx="5">
                  <c:v>1.7945312499981045</c:v>
                </c:pt>
                <c:pt idx="6">
                  <c:v>1.7531701631683152</c:v>
                </c:pt>
                <c:pt idx="7">
                  <c:v>1.7066145833315483</c:v>
                </c:pt>
                <c:pt idx="8">
                  <c:v>1.6560372960355887</c:v>
                </c:pt>
                <c:pt idx="9">
                  <c:v>1.6028645833317188</c:v>
                </c:pt>
                <c:pt idx="10">
                  <c:v>1.5487762237747176</c:v>
                </c:pt>
                <c:pt idx="11">
                  <c:v>1.4957054924228612</c:v>
                </c:pt>
                <c:pt idx="12">
                  <c:v>1.4458391608379233</c:v>
                </c:pt>
                <c:pt idx="13">
                  <c:v>1.4016174970851736</c:v>
                </c:pt>
                <c:pt idx="14">
                  <c:v>1.36573426573338</c:v>
                </c:pt>
                <c:pt idx="15">
                  <c:v>1.3411367278548065</c:v>
                </c:pt>
                <c:pt idx="16">
                  <c:v>1.3310256410252148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F-F04D-9A24-578FCBDD28A5}"/>
            </c:ext>
          </c:extLst>
        </c:ser>
        <c:ser>
          <c:idx val="1"/>
          <c:order val="3"/>
          <c:tx>
            <c:strRef>
              <c:f>'Chart Create Data'!$K$36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</c:spPr>
          <c:cat>
            <c:numRef>
              <c:f>'Chart Create Data'!$G$37:$G$53</c:f>
              <c:numCache>
                <c:formatCode>@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'Chart Create Data'!$K$37:$K$53</c:f>
              <c:numCache>
                <c:formatCode>@</c:formatCode>
                <c:ptCount val="17"/>
                <c:pt idx="0">
                  <c:v>0.60055944055874</c:v>
                </c:pt>
                <c:pt idx="1">
                  <c:v>0.60398306381055455</c:v>
                </c:pt>
                <c:pt idx="2">
                  <c:v>0.6089994172488471</c:v>
                </c:pt>
                <c:pt idx="3">
                  <c:v>0.61535281905543426</c:v>
                </c:pt>
                <c:pt idx="4">
                  <c:v>0.62276573426527881</c:v>
                </c:pt>
                <c:pt idx="5">
                  <c:v>0.63093877476649141</c:v>
                </c:pt>
                <c:pt idx="6">
                  <c:v>0.63955069930033037</c:v>
                </c:pt>
                <c:pt idx="7">
                  <c:v>0.64825841346120039</c:v>
                </c:pt>
                <c:pt idx="8">
                  <c:v>0.65669696969665359</c:v>
                </c:pt>
                <c:pt idx="9">
                  <c:v>0.66447956730738955</c:v>
                </c:pt>
                <c:pt idx="10">
                  <c:v>0.67119755244725487</c:v>
                </c:pt>
                <c:pt idx="11">
                  <c:v>0.67642041812324338</c:v>
                </c:pt>
                <c:pt idx="12">
                  <c:v>0.67969580419549658</c:v>
                </c:pt>
                <c:pt idx="13">
                  <c:v>0.68054949737730319</c:v>
                </c:pt>
                <c:pt idx="14">
                  <c:v>0.67848543123509808</c:v>
                </c:pt>
                <c:pt idx="15">
                  <c:v>0.67298568618846466</c:v>
                </c:pt>
                <c:pt idx="16">
                  <c:v>0.66351048951013247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F-F04D-9A24-578FCBDD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3648"/>
        <c:axId val="50782208"/>
      </c:areaChart>
      <c:areaChart>
        <c:grouping val="standard"/>
        <c:varyColors val="0"/>
        <c:ser>
          <c:idx val="0"/>
          <c:order val="2"/>
          <c:tx>
            <c:strRef>
              <c:f>'Chart Create Data'!$J$36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</c:spPr>
          <c:cat>
            <c:numRef>
              <c:f>'Chart Create Data'!$G$37:$G$53</c:f>
              <c:numCache>
                <c:formatCode>@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'Chart Create Data'!$J$37:$J$53</c:f>
              <c:numCache>
                <c:formatCode>@</c:formatCode>
                <c:ptCount val="17"/>
                <c:pt idx="0">
                  <c:v>2.5006759906734399</c:v>
                </c:pt>
                <c:pt idx="1">
                  <c:v>2.4974303977247336</c:v>
                </c:pt>
                <c:pt idx="2">
                  <c:v>2.4885215617690579</c:v>
                </c:pt>
                <c:pt idx="3">
                  <c:v>2.473599104018529</c:v>
                </c:pt>
                <c:pt idx="4">
                  <c:v>2.4525442890419069</c:v>
                </c:pt>
                <c:pt idx="5">
                  <c:v>2.4254700247645959</c:v>
                </c:pt>
                <c:pt idx="6">
                  <c:v>2.3927208624686456</c:v>
                </c:pt>
                <c:pt idx="7">
                  <c:v>2.3548729967927486</c:v>
                </c:pt>
                <c:pt idx="8">
                  <c:v>2.3127342657322423</c:v>
                </c:pt>
                <c:pt idx="9">
                  <c:v>2.2673441506391083</c:v>
                </c:pt>
                <c:pt idx="10">
                  <c:v>2.2199737762219725</c:v>
                </c:pt>
                <c:pt idx="11">
                  <c:v>2.1721259105461046</c:v>
                </c:pt>
                <c:pt idx="12">
                  <c:v>2.1255349650334199</c:v>
                </c:pt>
                <c:pt idx="13">
                  <c:v>2.0821669944624768</c:v>
                </c:pt>
                <c:pt idx="14">
                  <c:v>2.0442196969684781</c:v>
                </c:pt>
                <c:pt idx="15">
                  <c:v>2.0141224140432712</c:v>
                </c:pt>
                <c:pt idx="16">
                  <c:v>1.9945361305353473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F-F04D-9A24-578FCBDD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61631"/>
        <c:axId val="1030203119"/>
      </c:areaChart>
      <c:lineChart>
        <c:grouping val="standard"/>
        <c:varyColors val="0"/>
        <c:ser>
          <c:idx val="3"/>
          <c:order val="1"/>
          <c:tx>
            <c:strRef>
              <c:f>'Chart Create Data'!$I$36</c:f>
              <c:strCache>
                <c:ptCount val="1"/>
                <c:pt idx="0">
                  <c:v>Top Judge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numRef>
              <c:f>'Chart Create Data'!$G$37:$G$53</c:f>
              <c:numCache>
                <c:formatCode>@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'Chart Create Data'!$I$37:$I$53</c:f>
              <c:numCache>
                <c:formatCode>@</c:formatCode>
                <c:ptCount val="17"/>
                <c:pt idx="0">
                  <c:v>2.5006759906734399</c:v>
                </c:pt>
                <c:pt idx="1">
                  <c:v>2.4974303977247336</c:v>
                </c:pt>
                <c:pt idx="2">
                  <c:v>2.4885215617690579</c:v>
                </c:pt>
                <c:pt idx="3">
                  <c:v>2.473599104018529</c:v>
                </c:pt>
                <c:pt idx="4">
                  <c:v>2.4525442890419069</c:v>
                </c:pt>
                <c:pt idx="5">
                  <c:v>2.4254700247645959</c:v>
                </c:pt>
                <c:pt idx="6">
                  <c:v>2.3927208624686456</c:v>
                </c:pt>
                <c:pt idx="7">
                  <c:v>2.3548729967927486</c:v>
                </c:pt>
                <c:pt idx="8">
                  <c:v>2.3127342657322423</c:v>
                </c:pt>
                <c:pt idx="9">
                  <c:v>2.2673441506391083</c:v>
                </c:pt>
                <c:pt idx="10">
                  <c:v>2.2199737762219725</c:v>
                </c:pt>
                <c:pt idx="11">
                  <c:v>2.1721259105461046</c:v>
                </c:pt>
                <c:pt idx="12">
                  <c:v>2.1255349650334199</c:v>
                </c:pt>
                <c:pt idx="13">
                  <c:v>2.0821669944624768</c:v>
                </c:pt>
                <c:pt idx="14">
                  <c:v>2.0442196969684781</c:v>
                </c:pt>
                <c:pt idx="15">
                  <c:v>2.0141224140432712</c:v>
                </c:pt>
                <c:pt idx="16">
                  <c:v>1.9945361305353473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DF-F04D-9A24-578FCBDD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63648"/>
        <c:axId val="50782208"/>
      </c:lineChart>
      <c:dateAx>
        <c:axId val="50763648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tint val="75000"/>
                  <a:shade val="95000"/>
                  <a:satMod val="105000"/>
                  <a:alpha val="62378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/>
                  <a:t>Title</a:t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50782208"/>
        <c:crosses val="autoZero"/>
        <c:auto val="0"/>
        <c:lblOffset val="100"/>
        <c:baseTimeUnit val="days"/>
        <c:majorUnit val="2"/>
        <c:majorTimeUnit val="days"/>
      </c:dateAx>
      <c:valAx>
        <c:axId val="50782208"/>
        <c:scaling>
          <c:orientation val="minMax"/>
          <c:max val="3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/>
                  <a:t>Depth</a:t>
                </a:r>
              </a:p>
            </c:rich>
          </c:tx>
          <c:overlay val="0"/>
        </c:title>
        <c:numFmt formatCode="#,##0" sourceLinked="0"/>
        <c:majorTickMark val="in"/>
        <c:minorTickMark val="in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50763648"/>
        <c:crosses val="autoZero"/>
        <c:crossBetween val="midCat"/>
        <c:majorUnit val="1"/>
        <c:minorUnit val="0.5"/>
      </c:valAx>
      <c:valAx>
        <c:axId val="1030203119"/>
        <c:scaling>
          <c:orientation val="minMax"/>
          <c:max val="3"/>
          <c:min val="0"/>
        </c:scaling>
        <c:delete val="0"/>
        <c:axPos val="r"/>
        <c:numFmt formatCode="@" sourceLinked="1"/>
        <c:majorTickMark val="none"/>
        <c:minorTickMark val="none"/>
        <c:tickLblPos val="nextTo"/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462961631"/>
        <c:crosses val="max"/>
        <c:crossBetween val="midCat"/>
        <c:majorUnit val="5"/>
        <c:minorUnit val="1"/>
      </c:valAx>
      <c:catAx>
        <c:axId val="462961631"/>
        <c:scaling>
          <c:orientation val="minMax"/>
        </c:scaling>
        <c:delete val="0"/>
        <c:axPos val="t"/>
        <c:numFmt formatCode="@" sourceLinked="1"/>
        <c:majorTickMark val="none"/>
        <c:minorTickMark val="none"/>
        <c:tickLblPos val="nextTo"/>
        <c:spPr>
          <a:ln>
            <a:solidFill>
              <a:schemeClr val="tx1">
                <a:tint val="75000"/>
                <a:shade val="95000"/>
                <a:satMod val="105000"/>
              </a:schemeClr>
            </a:solidFill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1030203119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span"/>
    <c:showDLblsOverMax val="0"/>
  </c:chart>
  <c:spPr>
    <a:ln>
      <a:noFill/>
    </a:ln>
  </c:sp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Depth-Velocity Flood Danger Relationship</a:t>
            </a:r>
            <a:r>
              <a:rPr lang="en-US" baseline="0"/>
              <a:t> for Mobile Homes</a:t>
            </a:r>
          </a:p>
          <a:p>
            <a:pPr>
              <a:defRPr/>
            </a:pPr>
            <a:r>
              <a:rPr lang="en-US" sz="1000" baseline="0"/>
              <a:t>(Adapted from USBR ACER TM11, "Downstream Hazard Classification Guidelines", 1988)</a:t>
            </a:r>
            <a:endParaRPr lang="en-US" sz="1000"/>
          </a:p>
        </c:rich>
      </c:tx>
      <c:layout>
        <c:manualLayout>
          <c:xMode val="edge"/>
          <c:yMode val="edge"/>
          <c:x val="0.2357665494774738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trendline>
            <c:trendlineType val="poly"/>
            <c:order val="4"/>
            <c:dispRSqr val="0"/>
            <c:dispEq val="1"/>
            <c:trendlineLbl>
              <c:layout>
                <c:manualLayout>
                  <c:x val="-1.9682330086690621E-2"/>
                  <c:y val="3.1847750370775453E-2"/>
                </c:manualLayout>
              </c:layout>
              <c:numFmt formatCode="#,##0.000000000000000000000000000000" sourceLinked="0"/>
            </c:trendlineLbl>
          </c:trendline>
          <c:xVal>
            <c:numRef>
              <c:f>'Chart Create Data'!$E$3:$E$11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'Chart Create Data'!$F$3:$F$11</c:f>
              <c:numCache>
                <c:formatCode>General</c:formatCode>
                <c:ptCount val="9"/>
                <c:pt idx="0">
                  <c:v>1.9</c:v>
                </c:pt>
                <c:pt idx="1">
                  <c:v>1.88</c:v>
                </c:pt>
                <c:pt idx="2">
                  <c:v>1.83</c:v>
                </c:pt>
                <c:pt idx="3">
                  <c:v>1.75</c:v>
                </c:pt>
                <c:pt idx="4">
                  <c:v>1.66</c:v>
                </c:pt>
                <c:pt idx="5">
                  <c:v>1.55</c:v>
                </c:pt>
                <c:pt idx="6">
                  <c:v>1.44</c:v>
                </c:pt>
                <c:pt idx="7">
                  <c:v>1.37</c:v>
                </c:pt>
                <c:pt idx="8">
                  <c:v>1.33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0B-5F45-AADC-5F5C5676308B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38100">
                <a:solidFill>
                  <a:srgbClr val="FFFF00"/>
                </a:solidFill>
              </a:ln>
            </c:spPr>
            <c:trendlineType val="poly"/>
            <c:order val="4"/>
            <c:dispRSqr val="0"/>
            <c:dispEq val="1"/>
            <c:trendlineLbl>
              <c:layout>
                <c:manualLayout>
                  <c:x val="2.4490898533640639E-2"/>
                  <c:y val="-0.15601726140612279"/>
                </c:manualLayout>
              </c:layout>
              <c:numFmt formatCode="#,##0.000000000000000000000000000000" sourceLinked="0"/>
            </c:trendlineLbl>
          </c:trendline>
          <c:xVal>
            <c:numRef>
              <c:f>'Chart Create Data'!$E$3:$E$11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'Chart Create Data'!$G$3:$G$11</c:f>
              <c:numCache>
                <c:formatCode>General</c:formatCode>
                <c:ptCount val="9"/>
                <c:pt idx="0">
                  <c:v>2.5</c:v>
                </c:pt>
                <c:pt idx="1">
                  <c:v>2.48</c:v>
                </c:pt>
                <c:pt idx="2">
                  <c:v>2.4300000000000002</c:v>
                </c:pt>
                <c:pt idx="3">
                  <c:v>2.36</c:v>
                </c:pt>
                <c:pt idx="4">
                  <c:v>2.27</c:v>
                </c:pt>
                <c:pt idx="5">
                  <c:v>2.17</c:v>
                </c:pt>
                <c:pt idx="6">
                  <c:v>2.06</c:v>
                </c:pt>
                <c:pt idx="7">
                  <c:v>1.97</c:v>
                </c:pt>
                <c:pt idx="8">
                  <c:v>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0B-5F45-AADC-5F5C5676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88480"/>
        <c:axId val="51611136"/>
      </c:scatterChart>
      <c:valAx>
        <c:axId val="51588480"/>
        <c:scaling>
          <c:orientation val="minMax"/>
          <c:max val="16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Velocity (feet/sec)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611136"/>
        <c:crosses val="autoZero"/>
        <c:crossBetween val="midCat"/>
        <c:minorUnit val="0.5"/>
      </c:valAx>
      <c:valAx>
        <c:axId val="51611136"/>
        <c:scaling>
          <c:orientation val="minMax"/>
          <c:max val="3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Depth (feet)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588480"/>
        <c:crosses val="autoZero"/>
        <c:crossBetween val="midCat"/>
        <c:majorUnit val="1"/>
        <c:minorUnit val="0.25"/>
      </c:valAx>
      <c:spPr>
        <a:noFill/>
      </c:spPr>
    </c:plotArea>
    <c:plotVisOnly val="1"/>
    <c:dispBlanksAs val="gap"/>
    <c:showDLblsOverMax val="0"/>
  </c:chart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Depth-Velocity Flood Danger Relationship</a:t>
            </a:r>
            <a:r>
              <a:rPr lang="en-US" baseline="0"/>
              <a:t> for Houses Built on Foundations</a:t>
            </a:r>
          </a:p>
          <a:p>
            <a:pPr>
              <a:defRPr/>
            </a:pPr>
            <a:r>
              <a:rPr lang="en-US" sz="1000" baseline="0"/>
              <a:t>(Adapted from USBR ACER TM11, "Downstream Hazard Classification Guidelines", 1988)</a:t>
            </a:r>
            <a:endParaRPr lang="en-US" sz="1000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Lit>
              <c:formatCode>General</c:formatCode>
              <c:ptCount val="2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</c:numLit>
          </c:xVal>
          <c:yVal>
            <c:numLit>
              <c:formatCode>General</c:formatCode>
              <c:ptCount val="26"/>
              <c:pt idx="0">
                <c:v>3</c:v>
              </c:pt>
              <c:pt idx="1">
                <c:v>3</c:v>
              </c:pt>
              <c:pt idx="2">
                <c:v>2.9499999999999997</c:v>
              </c:pt>
              <c:pt idx="4">
                <c:v>2.7</c:v>
              </c:pt>
              <c:pt idx="5">
                <c:v>2.5499999999999998</c:v>
              </c:pt>
              <c:pt idx="6">
                <c:v>2.3499999999999996</c:v>
              </c:pt>
              <c:pt idx="7">
                <c:v>2.15</c:v>
              </c:pt>
              <c:pt idx="8">
                <c:v>1.8499999999999999</c:v>
              </c:pt>
              <c:pt idx="10">
                <c:v>1.4000000000000001</c:v>
              </c:pt>
              <c:pt idx="12">
                <c:v>1.0999999999999999</c:v>
              </c:pt>
              <c:pt idx="14">
                <c:v>0.79999999999999993</c:v>
              </c:pt>
              <c:pt idx="16">
                <c:v>0.5</c:v>
              </c:pt>
              <c:pt idx="18">
                <c:v>0.35000000000000003</c:v>
              </c:pt>
              <c:pt idx="20">
                <c:v>9.9999999999999992E-2</c:v>
              </c:pt>
              <c:pt idx="21">
                <c:v>4.9999999999999996E-2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545-1B4D-8E15-CC72D4E5112C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Lit>
              <c:formatCode>General</c:formatCode>
              <c:ptCount val="2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</c:numLit>
          </c:xVal>
          <c:yVal>
            <c:numLit>
              <c:formatCode>General</c:formatCode>
              <c:ptCount val="26"/>
              <c:pt idx="0">
                <c:v>6</c:v>
              </c:pt>
              <c:pt idx="1">
                <c:v>6</c:v>
              </c:pt>
              <c:pt idx="2">
                <c:v>5.9499999999999993</c:v>
              </c:pt>
              <c:pt idx="4">
                <c:v>5.6999999999999993</c:v>
              </c:pt>
              <c:pt idx="5">
                <c:v>5.55</c:v>
              </c:pt>
              <c:pt idx="6">
                <c:v>5.35</c:v>
              </c:pt>
              <c:pt idx="7">
                <c:v>5.0999999999999996</c:v>
              </c:pt>
              <c:pt idx="8">
                <c:v>4.8499999999999996</c:v>
              </c:pt>
              <c:pt idx="10">
                <c:v>4.25</c:v>
              </c:pt>
              <c:pt idx="12">
                <c:v>3.6999999999999997</c:v>
              </c:pt>
              <c:pt idx="14">
                <c:v>2.8499999999999996</c:v>
              </c:pt>
              <c:pt idx="16">
                <c:v>2.15</c:v>
              </c:pt>
              <c:pt idx="18">
                <c:v>1.7499999999999998</c:v>
              </c:pt>
              <c:pt idx="20">
                <c:v>1.4000000000000001</c:v>
              </c:pt>
              <c:pt idx="21">
                <c:v>1.2</c:v>
              </c:pt>
              <c:pt idx="22">
                <c:v>1.0499999999999998</c:v>
              </c:pt>
              <c:pt idx="23">
                <c:v>1</c:v>
              </c:pt>
              <c:pt idx="24">
                <c:v>0.89999999999999991</c:v>
              </c:pt>
              <c:pt idx="25">
                <c:v>0.79999999999999993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545-1B4D-8E15-CC72D4E5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3648"/>
        <c:axId val="50782208"/>
      </c:scatterChart>
      <c:scatterChart>
        <c:scatterStyle val="lineMarker"/>
        <c:varyColors val="0"/>
        <c:ser>
          <c:idx val="2"/>
          <c:order val="2"/>
          <c:tx>
            <c:v>100 YR</c:v>
          </c:tx>
          <c:spPr>
            <a:ln>
              <a:prstDash val="sysDot"/>
            </a:ln>
          </c:spP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ENTRY'!$D$11:$D$12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xVal>
          <c:yVal>
            <c:numRef>
              <c:f>'DATA ENTRY'!$C$11:$C$12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45-1B4D-8E15-CC72D4E5112C}"/>
            </c:ext>
          </c:extLst>
        </c:ser>
        <c:ser>
          <c:idx val="3"/>
          <c:order val="3"/>
          <c:tx>
            <c:v>Sunny Day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ENTRY'!$D$9:$D$10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'DATA ENTRY'!$C$9:$C$10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45-1B4D-8E15-CC72D4E5112C}"/>
            </c:ext>
          </c:extLst>
        </c:ser>
        <c:ser>
          <c:idx val="4"/>
          <c:order val="4"/>
          <c:tx>
            <c:v>Brim Full</c:v>
          </c:tx>
          <c:spPr>
            <a:ln>
              <a:prstDash val="sysDot"/>
            </a:ln>
          </c:spPr>
          <c:marker>
            <c:symbol val="diamond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ENTRY'!$D$13:$D$14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'DATA ENTRY'!$C$13:$C$14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45-1B4D-8E15-CC72D4E5112C}"/>
            </c:ext>
          </c:extLst>
        </c:ser>
        <c:ser>
          <c:idx val="5"/>
          <c:order val="5"/>
          <c:tx>
            <c:v>50 PMF</c:v>
          </c:tx>
          <c:spPr>
            <a:ln>
              <a:prstDash val="sysDot"/>
            </a:ln>
          </c:spP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ENTRY'!$D$15:$D$16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xVal>
          <c:yVal>
            <c:numRef>
              <c:f>'DATA ENTRY'!$C$15:$C$16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45-1B4D-8E15-CC72D4E5112C}"/>
            </c:ext>
          </c:extLst>
        </c:ser>
        <c:ser>
          <c:idx val="6"/>
          <c:order val="6"/>
          <c:tx>
            <c:v>PMF</c:v>
          </c:tx>
          <c:spPr>
            <a:ln>
              <a:prstDash val="sysDot"/>
            </a:ln>
          </c:spPr>
          <c:marker>
            <c:symbol val="triangl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ENTRY'!$D$17:$D$18</c:f>
              <c:numCache>
                <c:formatCode>General</c:formatCode>
                <c:ptCount val="2"/>
                <c:pt idx="0">
                  <c:v>14</c:v>
                </c:pt>
                <c:pt idx="1">
                  <c:v>20</c:v>
                </c:pt>
              </c:numCache>
            </c:numRef>
          </c:xVal>
          <c:yVal>
            <c:numRef>
              <c:f>'DATA ENTRY'!$C$17:$C$18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45-1B4D-8E15-CC72D4E5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3648"/>
        <c:axId val="50782208"/>
      </c:scatterChart>
      <c:valAx>
        <c:axId val="50763648"/>
        <c:scaling>
          <c:orientation val="minMax"/>
          <c:max val="2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Velocity (feet/sec)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0782208"/>
        <c:crosses val="autoZero"/>
        <c:crossBetween val="midCat"/>
        <c:majorUnit val="5"/>
        <c:minorUnit val="1"/>
      </c:valAx>
      <c:valAx>
        <c:axId val="50782208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Depth (feet)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0763648"/>
        <c:crosses val="autoZero"/>
        <c:crossBetween val="midCat"/>
        <c:majorUnit val="1"/>
        <c:minorUnit val="0.5"/>
      </c:valAx>
    </c:plotArea>
    <c:plotVisOnly val="1"/>
    <c:dispBlanksAs val="span"/>
    <c:showDLblsOverMax val="0"/>
  </c:chart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Depth-Velocity Flood Danger Relationship</a:t>
            </a:r>
            <a:r>
              <a:rPr lang="en-US" baseline="0"/>
              <a:t> for Mobile Homes</a:t>
            </a:r>
          </a:p>
          <a:p>
            <a:pPr>
              <a:defRPr/>
            </a:pPr>
            <a:r>
              <a:rPr lang="en-US" sz="1000" baseline="0"/>
              <a:t>(Adapted from USBR ACER TM11, "Downstream Hazard Classification Guidelines", 1988)</a:t>
            </a:r>
            <a:endParaRPr lang="en-US" sz="1000"/>
          </a:p>
        </c:rich>
      </c:tx>
      <c:layout>
        <c:manualLayout>
          <c:xMode val="edge"/>
          <c:yMode val="edge"/>
          <c:x val="0.2357665494774738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Lit>
              <c:formatCode>General</c:formatCode>
              <c:ptCount val="9"/>
              <c:pt idx="0">
                <c:v>0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xVal>
          <c:yVal>
            <c:numLit>
              <c:formatCode>General</c:formatCode>
              <c:ptCount val="9"/>
              <c:pt idx="0">
                <c:v>1.86</c:v>
              </c:pt>
              <c:pt idx="1">
                <c:v>1.84</c:v>
              </c:pt>
              <c:pt idx="2">
                <c:v>1.79</c:v>
              </c:pt>
              <c:pt idx="3">
                <c:v>1.72</c:v>
              </c:pt>
              <c:pt idx="4">
                <c:v>1.64</c:v>
              </c:pt>
              <c:pt idx="5">
                <c:v>1.55</c:v>
              </c:pt>
              <c:pt idx="6">
                <c:v>1.41</c:v>
              </c:pt>
              <c:pt idx="7">
                <c:v>1.36</c:v>
              </c:pt>
              <c:pt idx="8">
                <c:v>1.33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4C8-D144-94E1-B97A0DEE552C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Lit>
              <c:formatCode>General</c:formatCode>
              <c:ptCount val="9"/>
              <c:pt idx="0">
                <c:v>0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xVal>
          <c:yVal>
            <c:numLit>
              <c:formatCode>General</c:formatCode>
              <c:ptCount val="9"/>
              <c:pt idx="0">
                <c:v>2.46</c:v>
              </c:pt>
              <c:pt idx="1">
                <c:v>2.44</c:v>
              </c:pt>
              <c:pt idx="2">
                <c:v>2.38</c:v>
              </c:pt>
              <c:pt idx="3">
                <c:v>2.3199999999999998</c:v>
              </c:pt>
              <c:pt idx="4">
                <c:v>2.25</c:v>
              </c:pt>
              <c:pt idx="5">
                <c:v>2.16</c:v>
              </c:pt>
              <c:pt idx="6">
                <c:v>2.0499999999999998</c:v>
              </c:pt>
              <c:pt idx="7">
                <c:v>1.97</c:v>
              </c:pt>
              <c:pt idx="8">
                <c:v>1.91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4C8-D144-94E1-B97A0DEE552C}"/>
            </c:ext>
          </c:extLst>
        </c:ser>
        <c:ser>
          <c:idx val="2"/>
          <c:order val="2"/>
          <c:tx>
            <c:v>Sunny Day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ENTRY'!$F$9:$F$10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'DATA ENTRY'!$E$9:$E$10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C8-D144-94E1-B97A0DEE552C}"/>
            </c:ext>
          </c:extLst>
        </c:ser>
        <c:ser>
          <c:idx val="3"/>
          <c:order val="3"/>
          <c:tx>
            <c:v>100 YR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ENTRY'!$F$11:$F$12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xVal>
          <c:yVal>
            <c:numRef>
              <c:f>'DATA ENTRY'!$E$11:$E$12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C8-D144-94E1-B97A0DEE552C}"/>
            </c:ext>
          </c:extLst>
        </c:ser>
        <c:ser>
          <c:idx val="4"/>
          <c:order val="4"/>
          <c:tx>
            <c:v>Brim Full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ENTRY'!$F$13:$F$14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'DATA ENTRY'!$E$13:$E$14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C8-D144-94E1-B97A0DEE552C}"/>
            </c:ext>
          </c:extLst>
        </c:ser>
        <c:ser>
          <c:idx val="5"/>
          <c:order val="5"/>
          <c:tx>
            <c:v>50 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ENTRY'!$F$15:$F$16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xVal>
          <c:yVal>
            <c:numRef>
              <c:f>'DATA ENTRY'!$E$15:$E$16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C8-D144-94E1-B97A0DEE552C}"/>
            </c:ext>
          </c:extLst>
        </c:ser>
        <c:ser>
          <c:idx val="6"/>
          <c:order val="6"/>
          <c:tx>
            <c:v>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ENTRY'!$F$17:$F$18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xVal>
          <c:yVal>
            <c:numRef>
              <c:f>'DATA ENTRY'!$E$17:$E$18</c:f>
              <c:numCache>
                <c:formatCode>General</c:formatCode>
                <c:ptCount val="2"/>
                <c:pt idx="0">
                  <c:v>1.5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C8-D144-94E1-B97A0DEE5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88480"/>
        <c:axId val="51611136"/>
      </c:scatterChart>
      <c:valAx>
        <c:axId val="51588480"/>
        <c:scaling>
          <c:orientation val="minMax"/>
          <c:max val="16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Velocity (feet/sec)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611136"/>
        <c:crosses val="autoZero"/>
        <c:crossBetween val="midCat"/>
        <c:minorUnit val="0.5"/>
      </c:valAx>
      <c:valAx>
        <c:axId val="51611136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Depth (feet)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588480"/>
        <c:crosses val="autoZero"/>
        <c:crossBetween val="midCat"/>
        <c:minorUnit val="0.25"/>
      </c:valAx>
    </c:plotArea>
    <c:plotVisOnly val="1"/>
    <c:dispBlanksAs val="gap"/>
    <c:showDLblsOverMax val="0"/>
  </c:chart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Depth-Velocity Flood Danger Relationship</a:t>
            </a:r>
            <a:r>
              <a:rPr lang="en-US" baseline="0"/>
              <a:t> for Passenger Vehicles</a:t>
            </a:r>
          </a:p>
          <a:p>
            <a:pPr>
              <a:defRPr/>
            </a:pPr>
            <a:r>
              <a:rPr lang="en-US" sz="1000" baseline="0"/>
              <a:t>(Adapted from USBR ACER TM11, "Downstream Hazard Classification Guidelines", 1988)</a:t>
            </a:r>
            <a:endParaRPr lang="en-US" sz="1000"/>
          </a:p>
        </c:rich>
      </c:tx>
      <c:layout>
        <c:manualLayout>
          <c:xMode val="edge"/>
          <c:yMode val="edge"/>
          <c:x val="0.2357665494774738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Lit>
              <c:formatCode>General</c:formatCode>
              <c:ptCount val="9"/>
              <c:pt idx="0">
                <c:v>0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xVal>
          <c:yVal>
            <c:numLit>
              <c:formatCode>General</c:formatCode>
              <c:ptCount val="9"/>
              <c:pt idx="0">
                <c:v>2</c:v>
              </c:pt>
              <c:pt idx="1">
                <c:v>1.85</c:v>
              </c:pt>
              <c:pt idx="2">
                <c:v>1.65</c:v>
              </c:pt>
              <c:pt idx="3">
                <c:v>1.4</c:v>
              </c:pt>
              <c:pt idx="4">
                <c:v>1.28</c:v>
              </c:pt>
              <c:pt idx="5">
                <c:v>1.1499999999999999</c:v>
              </c:pt>
              <c:pt idx="6">
                <c:v>1.08</c:v>
              </c:pt>
              <c:pt idx="7">
                <c:v>1</c:v>
              </c:pt>
              <c:pt idx="8">
                <c:v>0.98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456-AB41-880C-FEAEA3C7C2B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Lit>
              <c:formatCode>General</c:formatCode>
              <c:ptCount val="9"/>
              <c:pt idx="0">
                <c:v>0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xVal>
          <c:yVal>
            <c:numLit>
              <c:formatCode>General</c:formatCode>
              <c:ptCount val="9"/>
              <c:pt idx="0">
                <c:v>3</c:v>
              </c:pt>
              <c:pt idx="1">
                <c:v>2.85</c:v>
              </c:pt>
              <c:pt idx="2">
                <c:v>2.5499999999999998</c:v>
              </c:pt>
              <c:pt idx="3">
                <c:v>2.25</c:v>
              </c:pt>
              <c:pt idx="4">
                <c:v>2.0499999999999998</c:v>
              </c:pt>
              <c:pt idx="5">
                <c:v>1.85</c:v>
              </c:pt>
              <c:pt idx="6">
                <c:v>1.75</c:v>
              </c:pt>
              <c:pt idx="7">
                <c:v>1.63</c:v>
              </c:pt>
              <c:pt idx="8">
                <c:v>1.59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56-AB41-880C-FEAEA3C7C2B2}"/>
            </c:ext>
          </c:extLst>
        </c:ser>
        <c:ser>
          <c:idx val="2"/>
          <c:order val="2"/>
          <c:tx>
            <c:v>Sunny Day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ENTRY'!$H$9:$H$10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'DATA ENTRY'!$G$9:$G$10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56-AB41-880C-FEAEA3C7C2B2}"/>
            </c:ext>
          </c:extLst>
        </c:ser>
        <c:ser>
          <c:idx val="3"/>
          <c:order val="3"/>
          <c:tx>
            <c:v>100 YR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ENTRY'!$H$11:$H$12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xVal>
          <c:yVal>
            <c:numRef>
              <c:f>'DATA ENTRY'!$G$11:$G$12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56-AB41-880C-FEAEA3C7C2B2}"/>
            </c:ext>
          </c:extLst>
        </c:ser>
        <c:ser>
          <c:idx val="4"/>
          <c:order val="4"/>
          <c:tx>
            <c:v>Brim Full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ENTRY'!$H$13:$H$14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'DATA ENTRY'!$G$13:$G$14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56-AB41-880C-FEAEA3C7C2B2}"/>
            </c:ext>
          </c:extLst>
        </c:ser>
        <c:ser>
          <c:idx val="5"/>
          <c:order val="5"/>
          <c:tx>
            <c:v>50 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ENTRY'!$H$15:$H$16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xVal>
          <c:yVal>
            <c:numRef>
              <c:f>'DATA ENTRY'!$G$15:$G$16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56-AB41-880C-FEAEA3C7C2B2}"/>
            </c:ext>
          </c:extLst>
        </c:ser>
        <c:ser>
          <c:idx val="6"/>
          <c:order val="6"/>
          <c:tx>
            <c:v>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ENTRY'!$H$17:$H$18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xVal>
          <c:yVal>
            <c:numRef>
              <c:f>'DATA ENTRY'!$G$17:$G$18</c:f>
              <c:numCache>
                <c:formatCode>General</c:formatCode>
                <c:ptCount val="2"/>
                <c:pt idx="0">
                  <c:v>1.5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56-AB41-880C-FEAEA3C7C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29056"/>
        <c:axId val="51230976"/>
      </c:scatterChart>
      <c:valAx>
        <c:axId val="51229056"/>
        <c:scaling>
          <c:orientation val="minMax"/>
          <c:max val="16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Velocity (feet/sec)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230976"/>
        <c:crosses val="autoZero"/>
        <c:crossBetween val="midCat"/>
        <c:minorUnit val="0.5"/>
      </c:valAx>
      <c:valAx>
        <c:axId val="51230976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Depth (feet)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229056"/>
        <c:crosses val="autoZero"/>
        <c:crossBetween val="midCat"/>
        <c:minorUnit val="0.25"/>
      </c:valAx>
    </c:plotArea>
    <c:plotVisOnly val="1"/>
    <c:dispBlanksAs val="gap"/>
    <c:showDLblsOverMax val="0"/>
  </c:chart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Depth-Velocity Flood Danger Relationship</a:t>
            </a:r>
            <a:r>
              <a:rPr lang="en-US" baseline="0"/>
              <a:t> for Adults</a:t>
            </a:r>
          </a:p>
          <a:p>
            <a:pPr>
              <a:defRPr/>
            </a:pPr>
            <a:r>
              <a:rPr lang="en-US" sz="1000" baseline="0"/>
              <a:t>(Adapted from USBR ACER TM11, "Downstream Hazard Classification Guidelines", 1988)</a:t>
            </a:r>
            <a:endParaRPr lang="en-US" sz="1000"/>
          </a:p>
        </c:rich>
      </c:tx>
      <c:layout>
        <c:manualLayout>
          <c:xMode val="edge"/>
          <c:yMode val="edge"/>
          <c:x val="0.23576654947747375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</c:numLit>
          </c:xVal>
          <c:yVal>
            <c:numLit>
              <c:formatCode>General</c:formatCode>
              <c:ptCount val="13"/>
              <c:pt idx="0">
                <c:v>3</c:v>
              </c:pt>
              <c:pt idx="1">
                <c:v>2.38</c:v>
              </c:pt>
              <c:pt idx="2">
                <c:v>1.5</c:v>
              </c:pt>
              <c:pt idx="3">
                <c:v>1.04</c:v>
              </c:pt>
              <c:pt idx="4">
                <c:v>0.74</c:v>
              </c:pt>
              <c:pt idx="5">
                <c:v>0.56000000000000005</c:v>
              </c:pt>
              <c:pt idx="6">
                <c:v>0.36</c:v>
              </c:pt>
              <c:pt idx="7">
                <c:v>0.24</c:v>
              </c:pt>
              <c:pt idx="8">
                <c:v>0.16</c:v>
              </c:pt>
              <c:pt idx="9">
                <c:v>0.08</c:v>
              </c:pt>
              <c:pt idx="10">
                <c:v>0.04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A3D5-AA48-A598-CD751E7FDA5C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</c:numLit>
          </c:xVal>
          <c:yVal>
            <c:numLit>
              <c:formatCode>General</c:formatCode>
              <c:ptCount val="13"/>
              <c:pt idx="0">
                <c:v>4.7</c:v>
              </c:pt>
              <c:pt idx="1">
                <c:v>4.5199999999999996</c:v>
              </c:pt>
              <c:pt idx="2">
                <c:v>3.94</c:v>
              </c:pt>
              <c:pt idx="3">
                <c:v>2.92</c:v>
              </c:pt>
              <c:pt idx="4">
                <c:v>2.08</c:v>
              </c:pt>
              <c:pt idx="5">
                <c:v>1.58</c:v>
              </c:pt>
              <c:pt idx="6">
                <c:v>1.1599999999999999</c:v>
              </c:pt>
              <c:pt idx="7">
                <c:v>0.84</c:v>
              </c:pt>
              <c:pt idx="8">
                <c:v>0.64</c:v>
              </c:pt>
              <c:pt idx="9">
                <c:v>0.44</c:v>
              </c:pt>
              <c:pt idx="10">
                <c:v>0.34</c:v>
              </c:pt>
              <c:pt idx="11">
                <c:v>0.24</c:v>
              </c:pt>
              <c:pt idx="12">
                <c:v>0.18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A3D5-AA48-A598-CD751E7FDA5C}"/>
            </c:ext>
          </c:extLst>
        </c:ser>
        <c:ser>
          <c:idx val="2"/>
          <c:order val="2"/>
          <c:tx>
            <c:v>Sunny Day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ENTRY'!$J$9:$J$10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'DATA ENTRY'!$I$9:$I$10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D5-AA48-A598-CD751E7FDA5C}"/>
            </c:ext>
          </c:extLst>
        </c:ser>
        <c:ser>
          <c:idx val="3"/>
          <c:order val="3"/>
          <c:tx>
            <c:v>100 YR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ENTRY'!$J$11:$J$12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xVal>
          <c:yVal>
            <c:numRef>
              <c:f>'DATA ENTRY'!$I$11:$I$12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D5-AA48-A598-CD751E7FDA5C}"/>
            </c:ext>
          </c:extLst>
        </c:ser>
        <c:ser>
          <c:idx val="4"/>
          <c:order val="4"/>
          <c:tx>
            <c:v>Brim Full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ENTRY'!$J$13:$J$14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xVal>
          <c:yVal>
            <c:numRef>
              <c:f>'DATA ENTRY'!$I$13:$I$14</c:f>
              <c:numCache>
                <c:formatCode>General</c:formatCode>
                <c:ptCount val="2"/>
                <c:pt idx="0">
                  <c:v>1.2</c:v>
                </c:pt>
                <c:pt idx="1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D5-AA48-A598-CD751E7FDA5C}"/>
            </c:ext>
          </c:extLst>
        </c:ser>
        <c:ser>
          <c:idx val="5"/>
          <c:order val="5"/>
          <c:tx>
            <c:v>50 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ENTRY'!$J$15:$J$16</c:f>
              <c:numCache>
                <c:formatCode>General</c:formatCode>
                <c:ptCount val="2"/>
                <c:pt idx="0">
                  <c:v>9</c:v>
                </c:pt>
                <c:pt idx="1">
                  <c:v>8.1</c:v>
                </c:pt>
              </c:numCache>
            </c:numRef>
          </c:xVal>
          <c:yVal>
            <c:numRef>
              <c:f>'DATA ENTRY'!$I$15:$I$16</c:f>
              <c:numCache>
                <c:formatCode>General</c:formatCode>
                <c:ptCount val="2"/>
                <c:pt idx="0">
                  <c:v>1.9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D5-AA48-A598-CD751E7FDA5C}"/>
            </c:ext>
          </c:extLst>
        </c:ser>
        <c:ser>
          <c:idx val="6"/>
          <c:order val="6"/>
          <c:tx>
            <c:v>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ENTRY'!$J$17:$J$18</c:f>
              <c:numCache>
                <c:formatCode>General</c:formatCode>
                <c:ptCount val="2"/>
                <c:pt idx="0">
                  <c:v>10.3</c:v>
                </c:pt>
                <c:pt idx="1">
                  <c:v>9.1999999999999993</c:v>
                </c:pt>
              </c:numCache>
            </c:numRef>
          </c:xVal>
          <c:yVal>
            <c:numRef>
              <c:f>'DATA ENTRY'!$I$17:$I$18</c:f>
              <c:numCache>
                <c:formatCode>General</c:formatCode>
                <c:ptCount val="2"/>
                <c:pt idx="0">
                  <c:v>1.5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3D5-AA48-A598-CD751E7F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68800"/>
        <c:axId val="51870720"/>
      </c:scatterChart>
      <c:valAx>
        <c:axId val="51868800"/>
        <c:scaling>
          <c:orientation val="minMax"/>
          <c:max val="1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Velocity (feet/sec)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870720"/>
        <c:crosses val="autoZero"/>
        <c:crossBetween val="midCat"/>
        <c:minorUnit val="0.5"/>
      </c:valAx>
      <c:valAx>
        <c:axId val="51870720"/>
        <c:scaling>
          <c:orientation val="minMax"/>
          <c:max val="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Depth (feet)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868800"/>
        <c:crosses val="autoZero"/>
        <c:crossBetween val="midCat"/>
        <c:minorUnit val="0.25"/>
      </c:valAx>
    </c:plotArea>
    <c:plotVisOnly val="1"/>
    <c:dispBlanksAs val="gap"/>
    <c:showDLblsOverMax val="0"/>
  </c:chart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Depth-Velocity Flood Danger Relationship</a:t>
            </a:r>
            <a:r>
              <a:rPr lang="en-US" baseline="0"/>
              <a:t> for Children</a:t>
            </a:r>
          </a:p>
          <a:p>
            <a:pPr>
              <a:defRPr/>
            </a:pPr>
            <a:r>
              <a:rPr lang="en-US" sz="1000" baseline="0"/>
              <a:t>(Adapted from USBR ACER TM11, "Downstream Hazard Classification Guidelines", 1988)</a:t>
            </a:r>
            <a:endParaRPr lang="en-US" sz="1000"/>
          </a:p>
        </c:rich>
      </c:tx>
      <c:layout>
        <c:manualLayout>
          <c:xMode val="edge"/>
          <c:yMode val="edge"/>
          <c:x val="0.2357665494774738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Lit>
              <c:formatCode>General</c:formatCode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numLit>
          </c:xVal>
          <c:yVal>
            <c:numLit>
              <c:formatCode>General</c:formatCode>
              <c:ptCount val="9"/>
              <c:pt idx="0">
                <c:v>1.55</c:v>
              </c:pt>
              <c:pt idx="1">
                <c:v>0.95</c:v>
              </c:pt>
              <c:pt idx="2">
                <c:v>0.5</c:v>
              </c:pt>
              <c:pt idx="3">
                <c:v>0.25</c:v>
              </c:pt>
              <c:pt idx="4">
                <c:v>0.08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572-8C40-8A51-4C105C23B2FD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Lit>
              <c:formatCode>General</c:formatCode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numLit>
          </c:xVal>
          <c:yVal>
            <c:numLit>
              <c:formatCode>General</c:formatCode>
              <c:ptCount val="9"/>
              <c:pt idx="0">
                <c:v>3</c:v>
              </c:pt>
              <c:pt idx="1">
                <c:v>2.25</c:v>
              </c:pt>
              <c:pt idx="2">
                <c:v>1.3</c:v>
              </c:pt>
              <c:pt idx="3">
                <c:v>0.8</c:v>
              </c:pt>
              <c:pt idx="4">
                <c:v>0.5</c:v>
              </c:pt>
              <c:pt idx="5">
                <c:v>0.27</c:v>
              </c:pt>
              <c:pt idx="6">
                <c:v>0.11</c:v>
              </c:pt>
              <c:pt idx="7">
                <c:v>0</c:v>
              </c:pt>
              <c:pt idx="8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572-8C40-8A51-4C105C23B2FD}"/>
            </c:ext>
          </c:extLst>
        </c:ser>
        <c:ser>
          <c:idx val="2"/>
          <c:order val="2"/>
          <c:tx>
            <c:v>Sunny Day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ENTRY'!$L$9:$L$10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'DATA ENTRY'!$K$9:$K$10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72-8C40-8A51-4C105C23B2FD}"/>
            </c:ext>
          </c:extLst>
        </c:ser>
        <c:ser>
          <c:idx val="3"/>
          <c:order val="3"/>
          <c:tx>
            <c:v>100 YR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ENTRY'!$L$11:$L$12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xVal>
          <c:yVal>
            <c:numRef>
              <c:f>'DATA ENTRY'!$K$11:$K$12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72-8C40-8A51-4C105C23B2FD}"/>
            </c:ext>
          </c:extLst>
        </c:ser>
        <c:ser>
          <c:idx val="4"/>
          <c:order val="4"/>
          <c:tx>
            <c:v>Brim Full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ENTRY'!$L$13:$L$14</c:f>
              <c:numCache>
                <c:formatCode>General</c:formatCode>
                <c:ptCount val="2"/>
                <c:pt idx="0">
                  <c:v>7.2</c:v>
                </c:pt>
                <c:pt idx="1">
                  <c:v>8</c:v>
                </c:pt>
              </c:numCache>
            </c:numRef>
          </c:xVal>
          <c:yVal>
            <c:numRef>
              <c:f>'DATA ENTRY'!$K$13:$K$14</c:f>
              <c:numCache>
                <c:formatCode>General</c:formatCode>
                <c:ptCount val="2"/>
                <c:pt idx="0">
                  <c:v>1.9</c:v>
                </c:pt>
                <c:pt idx="1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72-8C40-8A51-4C105C23B2FD}"/>
            </c:ext>
          </c:extLst>
        </c:ser>
        <c:ser>
          <c:idx val="5"/>
          <c:order val="5"/>
          <c:tx>
            <c:v>50 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ENTRY'!$L$15:$L$16</c:f>
              <c:numCache>
                <c:formatCode>General</c:formatCode>
                <c:ptCount val="2"/>
                <c:pt idx="0">
                  <c:v>7.2</c:v>
                </c:pt>
                <c:pt idx="1">
                  <c:v>7.4</c:v>
                </c:pt>
              </c:numCache>
            </c:numRef>
          </c:xVal>
          <c:yVal>
            <c:numRef>
              <c:f>'DATA ENTRY'!$K$15:$K$16</c:f>
              <c:numCache>
                <c:formatCode>General</c:formatCode>
                <c:ptCount val="2"/>
                <c:pt idx="0">
                  <c:v>1.9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72-8C40-8A51-4C105C23B2FD}"/>
            </c:ext>
          </c:extLst>
        </c:ser>
        <c:ser>
          <c:idx val="6"/>
          <c:order val="6"/>
          <c:tx>
            <c:v>PMF</c:v>
          </c:tx>
          <c:spPr>
            <a:ln>
              <a:prstDash val="sysDot"/>
            </a:ln>
          </c:spPr>
          <c:marker>
            <c:symbol val="square"/>
            <c:size val="7"/>
          </c:marker>
          <c:dLbls>
            <c:spPr>
              <a:solidFill>
                <a:schemeClr val="bg1"/>
              </a:solidFill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ENTRY'!$L$17:$L$18</c:f>
              <c:numCache>
                <c:formatCode>General</c:formatCode>
                <c:ptCount val="2"/>
                <c:pt idx="0">
                  <c:v>6</c:v>
                </c:pt>
                <c:pt idx="1">
                  <c:v>6.5</c:v>
                </c:pt>
              </c:numCache>
            </c:numRef>
          </c:xVal>
          <c:yVal>
            <c:numRef>
              <c:f>'DATA ENTRY'!$K$17:$K$18</c:f>
              <c:numCache>
                <c:formatCode>General</c:formatCode>
                <c:ptCount val="2"/>
                <c:pt idx="0">
                  <c:v>1.5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72-8C40-8A51-4C105C23B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57600"/>
        <c:axId val="52059520"/>
      </c:scatterChart>
      <c:valAx>
        <c:axId val="52057600"/>
        <c:scaling>
          <c:orientation val="minMax"/>
          <c:max val="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Velocity (feet/sec)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2059520"/>
        <c:crosses val="autoZero"/>
        <c:crossBetween val="midCat"/>
        <c:minorUnit val="0.5"/>
      </c:valAx>
      <c:valAx>
        <c:axId val="5205952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300"/>
                </a:pPr>
                <a:r>
                  <a:rPr lang="en-US" sz="1300"/>
                  <a:t>Depth (feet)</a:t>
                </a:r>
              </a:p>
            </c:rich>
          </c:tx>
          <c:overlay val="0"/>
        </c:title>
        <c:numFmt formatCode="#,##0.0" sourceLinked="0"/>
        <c:majorTickMark val="out"/>
        <c:minorTickMark val="out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2057600"/>
        <c:crosses val="autoZero"/>
        <c:crossBetween val="midCat"/>
        <c:minorUnit val="0.25"/>
      </c:valAx>
    </c:plotArea>
    <c:plotVisOnly val="1"/>
    <c:dispBlanksAs val="gap"/>
    <c:showDLblsOverMax val="0"/>
  </c:chart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chart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chart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chart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chart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chart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F6F4E8-BBAC-A545-A8B8-E6A4FE430C0D}">
  <sheetPr/>
  <sheetViews>
    <sheetView zoomScale="166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E6B615-6062-A64E-8BB4-79BF1A1B2580}">
  <sheetPr/>
  <sheetViews>
    <sheetView zoomScale="18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9FF021-358A-9F46-AD6A-A431ABA1ECB8}">
  <sheetPr/>
  <sheetViews>
    <sheetView zoomScale="164" workbookViewId="0" zoomToFit="1"/>
  </sheetViews>
  <pageMargins left="0.25" right="0.25" top="0.25" bottom="0.5" header="0.3" footer="0.3"/>
  <pageSetup orientation="landscape" r:id="rId1"/>
  <headerFooter>
    <oddFooter>&amp;L&amp;G&amp;RApril 2018</oddFooter>
  </headerFooter>
  <drawing r:id="rId2"/>
  <legacyDrawingHF r:id="rId3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63A4AB-669E-0643-BFC5-DFAABD29F395}">
  <sheetPr>
    <tabColor rgb="FF00B050"/>
  </sheetPr>
  <sheetViews>
    <sheetView zoomScale="164" workbookViewId="0" zoomToFit="1"/>
  </sheetViews>
  <pageMargins left="0.25" right="0.25" top="0.25" bottom="0.5" header="0.3" footer="0.3"/>
  <pageSetup orientation="landscape" r:id="rId1"/>
  <headerFooter>
    <oddFooter>&amp;L&amp;G&amp;RApril 2018</oddFooter>
  </headerFooter>
  <drawing r:id="rId2"/>
  <legacyDrawingHF r:id="rId3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E4C26B-97C8-FE40-B91A-5BD6A0264287}">
  <sheetPr>
    <tabColor rgb="FF00B050"/>
  </sheetPr>
  <sheetViews>
    <sheetView zoomScale="164" workbookViewId="0" zoomToFit="1"/>
  </sheetViews>
  <pageMargins left="0.25" right="0.25" top="0.25" bottom="0.5" header="0.3" footer="0.3"/>
  <pageSetup orientation="landscape" r:id="rId1"/>
  <headerFooter>
    <oddFooter>&amp;L&amp;G&amp;RApril 2018</oddFooter>
  </headerFooter>
  <drawing r:id="rId2"/>
  <legacyDrawingHF r:id="rId3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5395BC-919F-9447-AA4B-081C73E0AC1C}">
  <sheetPr>
    <tabColor rgb="FF00B050"/>
  </sheetPr>
  <sheetViews>
    <sheetView zoomScale="164" workbookViewId="0" zoomToFit="1"/>
  </sheetViews>
  <pageMargins left="0.25" right="0.25" top="0.25" bottom="0.5" header="0.3" footer="0.3"/>
  <pageSetup orientation="landscape" r:id="rId1"/>
  <headerFooter>
    <oddFooter>&amp;L&amp;G&amp;RApril 2018</oddFooter>
  </headerFooter>
  <drawing r:id="rId2"/>
  <legacyDrawingHF r:id="rId3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88749C-5622-3241-87A5-BE2E48B79402}">
  <sheetPr>
    <tabColor rgb="FF00B050"/>
  </sheetPr>
  <sheetViews>
    <sheetView zoomScale="164" workbookViewId="0" zoomToFit="1"/>
  </sheetViews>
  <pageMargins left="0.25" right="0.25" top="0.25" bottom="0.5" header="0.3" footer="0.3"/>
  <pageSetup orientation="landscape" r:id="rId1"/>
  <headerFooter>
    <oddFooter>&amp;L&amp;G&amp;RApril 2018</oddFooter>
  </headerFooter>
  <drawing r:id="rId2"/>
  <legacyDrawingHF r:id="rId3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F0BCF3-25B5-704B-B830-54E47C7E56A0}">
  <sheetPr>
    <tabColor rgb="FF00B050"/>
  </sheetPr>
  <sheetViews>
    <sheetView zoomScale="164" workbookViewId="0" zoomToFit="1"/>
  </sheetViews>
  <pageMargins left="0.25" right="0.25" top="0.25" bottom="0.5" header="0.3" footer="0.3"/>
  <pageSetup orientation="landscape" r:id="rId1"/>
  <headerFooter>
    <oddFooter>&amp;L&amp;G&amp;RApril 2018</oddFooter>
  </headerFooter>
  <drawing r:id="rId2"/>
  <legacyDrawingHF r:id="rId3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</xdr:colOff>
      <xdr:row>24</xdr:row>
      <xdr:rowOff>143933</xdr:rowOff>
    </xdr:from>
    <xdr:to>
      <xdr:col>13</xdr:col>
      <xdr:colOff>171027</xdr:colOff>
      <xdr:row>40</xdr:row>
      <xdr:rowOff>8467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3E7FC2D-C510-D440-8AC7-8C405EB91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7</xdr:row>
      <xdr:rowOff>71120</xdr:rowOff>
    </xdr:from>
    <xdr:to>
      <xdr:col>13</xdr:col>
      <xdr:colOff>165947</xdr:colOff>
      <xdr:row>22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EB191C-FB86-8348-A2B7-FD70997C4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702731</xdr:colOff>
      <xdr:row>8</xdr:row>
      <xdr:rowOff>16932</xdr:rowOff>
    </xdr:from>
    <xdr:to>
      <xdr:col>12</xdr:col>
      <xdr:colOff>770466</xdr:colOff>
      <xdr:row>14</xdr:row>
      <xdr:rowOff>50798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EE0AAC-FD4A-10B1-6FF4-621278F94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558800</xdr:colOff>
      <xdr:row>17</xdr:row>
      <xdr:rowOff>177800</xdr:rowOff>
    </xdr:from>
    <xdr:to>
      <xdr:col>8</xdr:col>
      <xdr:colOff>237066</xdr:colOff>
      <xdr:row>20</xdr:row>
      <xdr:rowOff>25400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5E6AE26-5AE7-2A5E-8B14-D5DCBD5C8245}"/>
            </a:ext>
          </a:extLst>
        </xdr:cNvPr>
        <xdr:cNvSpPr/>
      </xdr:nvSpPr>
      <xdr:spPr>
        <a:xfrm>
          <a:off x="5655733" y="3606800"/>
          <a:ext cx="508000" cy="431800"/>
        </a:xfrm>
        <a:prstGeom prst="rect">
          <a:avLst/>
        </a:prstGeom>
        <a:noFill/>
        <a:ln w="12700">
          <a:solidFill>
            <a:schemeClr val="tx1">
              <a:lumMod val="50000"/>
              <a:lumOff val="50000"/>
              <a:alpha val="50255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592667</xdr:colOff>
      <xdr:row>8</xdr:row>
      <xdr:rowOff>50800</xdr:rowOff>
    </xdr:from>
    <xdr:to>
      <xdr:col>9</xdr:col>
      <xdr:colOff>702733</xdr:colOff>
      <xdr:row>17</xdr:row>
      <xdr:rowOff>177800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8833528-A83C-7EEB-D4B6-DAF5A9DCE900}"/>
            </a:ext>
          </a:extLst>
        </xdr:cNvPr>
        <xdr:cNvCxnSpPr/>
      </xdr:nvCxnSpPr>
      <xdr:spPr>
        <a:xfrm flipV="1">
          <a:off x="5689600" y="1727200"/>
          <a:ext cx="1769533" cy="1879600"/>
        </a:xfrm>
        <a:prstGeom prst="line">
          <a:avLst/>
        </a:prstGeom>
        <a:ln w="12700">
          <a:solidFill>
            <a:schemeClr val="tx1">
              <a:lumMod val="50000"/>
              <a:lumOff val="50000"/>
              <a:alpha val="50293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298450</xdr:colOff>
      <xdr:row>14</xdr:row>
      <xdr:rowOff>50800</xdr:rowOff>
    </xdr:from>
    <xdr:to>
      <xdr:col>12</xdr:col>
      <xdr:colOff>762000</xdr:colOff>
      <xdr:row>19</xdr:row>
      <xdr:rowOff>177800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0B3ABC9-84B6-F440-AF37-B38E318340C8}"/>
            </a:ext>
          </a:extLst>
        </xdr:cNvPr>
        <xdr:cNvCxnSpPr/>
      </xdr:nvCxnSpPr>
      <xdr:spPr>
        <a:xfrm flipV="1">
          <a:off x="6203950" y="2844800"/>
          <a:ext cx="3765550" cy="1079500"/>
        </a:xfrm>
        <a:prstGeom prst="line">
          <a:avLst/>
        </a:prstGeom>
        <a:ln w="12700">
          <a:solidFill>
            <a:schemeClr val="tx1">
              <a:lumMod val="50000"/>
              <a:lumOff val="50000"/>
              <a:alpha val="49943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0.67161</cdr:x>
      <cdr:y>0.19297</cdr:y>
    </cdr:from>
    <cdr:to>
      <cdr:x>0.92728</cdr:x>
      <cdr:y>0.26081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959963" y="569884"/>
          <a:ext cx="1507478" cy="20034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rgbClr val="C00000"/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0.61058</cdr:x>
      <cdr:y>0.52973</cdr:y>
    </cdr:from>
    <cdr:to>
      <cdr:x>0.92308</cdr:x>
      <cdr:y>0.61648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629060" y="1578742"/>
          <a:ext cx="1857340" cy="2585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accent3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0.63323</cdr:x>
      <cdr:y>0.35711</cdr:y>
    </cdr:from>
    <cdr:to>
      <cdr:x>0.91026</cdr:x>
      <cdr:y>0.40424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3733642" y="1054621"/>
          <a:ext cx="1633421" cy="13918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accent6">
                  <a:lumMod val="75000"/>
                </a:schemeClr>
              </a:solidFill>
            </a:rPr>
            <a:t>JUDGEMENT ZONE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0.50357</cdr:x>
      <cdr:y>0.49552</cdr:y>
    </cdr:from>
    <cdr:to>
      <cdr:x>0.7981</cdr:x>
      <cdr:y>0.5435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993012" y="1476790"/>
          <a:ext cx="1750569" cy="14299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rgbClr val="C00000"/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0.32855</cdr:x>
      <cdr:y>0.73781</cdr:y>
    </cdr:from>
    <cdr:to>
      <cdr:x>0.5966</cdr:x>
      <cdr:y>0.82525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952794" y="2198870"/>
          <a:ext cx="1593182" cy="26059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accent3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0.40353</cdr:x>
      <cdr:y>0.63914</cdr:y>
    </cdr:from>
    <cdr:to>
      <cdr:x>0.65339</cdr:x>
      <cdr:y>0.66915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398397" y="1904813"/>
          <a:ext cx="1485068" cy="8943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accent6">
                  <a:lumMod val="75000"/>
                </a:schemeClr>
              </a:solidFill>
            </a:rPr>
            <a:t>JUDGEMENT ZONE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832B203-6337-5CAB-4FA4-B08E9BCA5C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0.17166</cdr:x>
      <cdr:y>0.3604</cdr:y>
    </cdr:from>
    <cdr:to>
      <cdr:x>0.37812</cdr:x>
      <cdr:y>0.40958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1488828" y="2264333"/>
          <a:ext cx="1790759" cy="30898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rgbClr val="C00000"/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0.57244</cdr:x>
      <cdr:y>0.65422</cdr:y>
    </cdr:from>
    <cdr:to>
      <cdr:x>0.80052</cdr:x>
      <cdr:y>0.7034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961952" y="4109262"/>
          <a:ext cx="1977027" cy="30890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accent3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0.53707</cdr:x>
      <cdr:y>0.54791</cdr:y>
    </cdr:from>
    <cdr:to>
      <cdr:x>0.73838</cdr:x>
      <cdr:y>0.59709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655358" y="3441486"/>
          <a:ext cx="1744982" cy="30890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accent6">
                  <a:lumMod val="75000"/>
                </a:schemeClr>
              </a:solidFill>
            </a:rPr>
            <a:t>JUDGEMENT ZONE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9503" cy="62868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4228D-AA01-AB58-0919-32563EDE47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0.36114</cdr:x>
      <cdr:y>0.16198</cdr:y>
    </cdr:from>
    <cdr:to>
      <cdr:x>0.5676</cdr:x>
      <cdr:y>0.21116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34116" y="1018768"/>
          <a:ext cx="1791728" cy="3093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rgbClr val="C00000"/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0.17611</cdr:x>
      <cdr:y>0.53467</cdr:y>
    </cdr:from>
    <cdr:to>
      <cdr:x>0.40419</cdr:x>
      <cdr:y>0.58385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528365" y="3362815"/>
          <a:ext cx="1979354" cy="3093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accent3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0.28708</cdr:x>
      <cdr:y>0.31336</cdr:y>
    </cdr:from>
    <cdr:to>
      <cdr:x>0.48839</cdr:x>
      <cdr:y>0.36254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91383" y="1970861"/>
          <a:ext cx="1747035" cy="3093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accent6">
                  <a:lumMod val="75000"/>
                </a:schemeClr>
              </a:solidFill>
            </a:rPr>
            <a:t>JUDGEMENT ZONE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78537" cy="6961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4EA1D-394E-947A-346A-B2DA29159E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0.30522</cdr:x>
      <cdr:y>0.45628</cdr:y>
    </cdr:from>
    <cdr:to>
      <cdr:x>0.45687</cdr:x>
      <cdr:y>0.49591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884676" y="3029856"/>
          <a:ext cx="1433259" cy="26309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Judgement Zone</a:t>
          </a:r>
        </a:p>
      </cdr:txBody>
    </cdr:sp>
  </cdr:relSizeAnchor>
  <cdr:relSizeAnchor xmlns:cdr="http://schemas.openxmlformats.org/drawingml/2006/chartDrawing">
    <cdr:from>
      <cdr:x>0.49527</cdr:x>
      <cdr:y>0.3388</cdr:y>
    </cdr:from>
    <cdr:to>
      <cdr:x>0.6594</cdr:x>
      <cdr:y>0.38798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680842" y="2249735"/>
          <a:ext cx="155120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0.13437</cdr:x>
      <cdr:y>0.72541</cdr:y>
    </cdr:from>
    <cdr:to>
      <cdr:x>0.29851</cdr:x>
      <cdr:y>0.77459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69944" y="4816929"/>
          <a:ext cx="1551304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Low Danger Zone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78537" cy="6961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B2B45-403B-B251-5819-9B24C363D2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0.44728</cdr:x>
      <cdr:y>0.44126</cdr:y>
    </cdr:from>
    <cdr:to>
      <cdr:x>0.61141</cdr:x>
      <cdr:y>0.49044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227271" y="2930091"/>
          <a:ext cx="155120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0.09406</cdr:x>
      <cdr:y>0.7541</cdr:y>
    </cdr:from>
    <cdr:to>
      <cdr:x>0.2582</cdr:x>
      <cdr:y>0.80328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88954" y="5007439"/>
          <a:ext cx="1551303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0.27931</cdr:x>
      <cdr:y>0.59973</cdr:y>
    </cdr:from>
    <cdr:to>
      <cdr:x>0.43096</cdr:x>
      <cdr:y>0.64891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639795" y="3982367"/>
          <a:ext cx="143325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Judgement Zone</a:t>
          </a:r>
        </a:p>
      </cdr:txBody>
    </cdr:sp>
  </cdr:relSizeAnchor>
  <cdr:relSizeAnchor xmlns:cdr="http://schemas.openxmlformats.org/drawingml/2006/chartDrawing">
    <cdr:from>
      <cdr:x>0.78802</cdr:x>
      <cdr:y>0.10656</cdr:y>
    </cdr:from>
    <cdr:to>
      <cdr:x>0.97039</cdr:x>
      <cdr:y>0.31011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447655" y="707589"/>
          <a:ext cx="1723597" cy="135162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High Danger Zone </a:t>
          </a:r>
          <a:r>
            <a:rPr lang="en-US" sz="900"/>
            <a:t>- Occupants of most houses are in danger from flood water</a:t>
          </a:r>
        </a:p>
        <a:p xmlns:a="http://schemas.openxmlformats.org/drawingml/2006/main">
          <a:r>
            <a:rPr lang="en-US" sz="900" b="1"/>
            <a:t>Judgement Zone </a:t>
          </a:r>
          <a:r>
            <a:rPr lang="en-US" sz="900"/>
            <a:t>- Danger level</a:t>
          </a:r>
          <a:r>
            <a:rPr lang="en-US" sz="900" baseline="0"/>
            <a:t> is based upson engineering judgement</a:t>
          </a:r>
        </a:p>
        <a:p xmlns:a="http://schemas.openxmlformats.org/drawingml/2006/main">
          <a:r>
            <a:rPr lang="en-US" sz="900" b="1" baseline="0"/>
            <a:t>Low Danger Zone </a:t>
          </a:r>
          <a:r>
            <a:rPr lang="en-US" sz="900" baseline="0"/>
            <a:t>- Occupants of most houses are not seriously in danger from flood water.</a:t>
          </a:r>
          <a:endParaRPr lang="en-US" sz="9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78537" cy="6961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5A7E6-3629-44C0-926F-AA36DC3E9F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0.30522</cdr:x>
      <cdr:y>0.45628</cdr:y>
    </cdr:from>
    <cdr:to>
      <cdr:x>0.45687</cdr:x>
      <cdr:y>0.49591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884676" y="3029856"/>
          <a:ext cx="1433259" cy="26309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Judgement Zone</a:t>
          </a:r>
        </a:p>
      </cdr:txBody>
    </cdr:sp>
  </cdr:relSizeAnchor>
  <cdr:relSizeAnchor xmlns:cdr="http://schemas.openxmlformats.org/drawingml/2006/chartDrawing">
    <cdr:from>
      <cdr:x>0.49527</cdr:x>
      <cdr:y>0.3388</cdr:y>
    </cdr:from>
    <cdr:to>
      <cdr:x>0.6594</cdr:x>
      <cdr:y>0.38798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680842" y="2249735"/>
          <a:ext cx="155120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0.13437</cdr:x>
      <cdr:y>0.72541</cdr:y>
    </cdr:from>
    <cdr:to>
      <cdr:x>0.29851</cdr:x>
      <cdr:y>0.77459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69944" y="4816929"/>
          <a:ext cx="1551304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0.78802</cdr:x>
      <cdr:y>0.10656</cdr:y>
    </cdr:from>
    <cdr:to>
      <cdr:x>0.97039</cdr:x>
      <cdr:y>0.34426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447655" y="707589"/>
          <a:ext cx="1723597" cy="157841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High Danger Zone </a:t>
          </a:r>
          <a:r>
            <a:rPr lang="en-US" sz="900"/>
            <a:t>- Occupants of almost any size mobile home are in danger from flood water</a:t>
          </a:r>
        </a:p>
        <a:p xmlns:a="http://schemas.openxmlformats.org/drawingml/2006/main">
          <a:r>
            <a:rPr lang="en-US" sz="900" b="1"/>
            <a:t>Judgement Zone </a:t>
          </a:r>
          <a:r>
            <a:rPr lang="en-US" sz="900"/>
            <a:t>- Danger level</a:t>
          </a:r>
          <a:r>
            <a:rPr lang="en-US" sz="900" baseline="0"/>
            <a:t> is based upson engineering judgement</a:t>
          </a:r>
        </a:p>
        <a:p xmlns:a="http://schemas.openxmlformats.org/drawingml/2006/main">
          <a:r>
            <a:rPr lang="en-US" sz="900" b="1" baseline="0"/>
            <a:t>Low Danger Zone </a:t>
          </a:r>
          <a:r>
            <a:rPr lang="en-US" sz="900" baseline="0"/>
            <a:t>- </a:t>
          </a:r>
          <a:r>
            <a:rPr lang="en-US" sz="900">
              <a:latin typeface="+mn-lt"/>
              <a:ea typeface="+mn-ea"/>
              <a:cs typeface="+mn-cs"/>
            </a:rPr>
            <a:t>Occupants of almost any size mobile home are </a:t>
          </a:r>
          <a:r>
            <a:rPr lang="en-US" sz="900" baseline="0"/>
            <a:t>not seriously in danger from flood water.</a:t>
          </a:r>
          <a:endParaRPr lang="en-US" sz="9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478537" cy="6961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1F42A-47A3-3874-70E9-EBC0C45E5C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0.13437</cdr:x>
      <cdr:y>0.72541</cdr:y>
    </cdr:from>
    <cdr:to>
      <cdr:x>0.29851</cdr:x>
      <cdr:y>0.77459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69955" y="4816939"/>
          <a:ext cx="1551303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0.31194</cdr:x>
      <cdr:y>0.50137</cdr:y>
    </cdr:from>
    <cdr:to>
      <cdr:x>0.46359</cdr:x>
      <cdr:y>0.55055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48223" y="3329225"/>
          <a:ext cx="143325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Judgement Zone</a:t>
          </a:r>
        </a:p>
      </cdr:txBody>
    </cdr:sp>
  </cdr:relSizeAnchor>
  <cdr:relSizeAnchor xmlns:cdr="http://schemas.openxmlformats.org/drawingml/2006/chartDrawing">
    <cdr:from>
      <cdr:x>0.49527</cdr:x>
      <cdr:y>0.3388</cdr:y>
    </cdr:from>
    <cdr:to>
      <cdr:x>0.6594</cdr:x>
      <cdr:y>0.38798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680842" y="2249735"/>
          <a:ext cx="155120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0.78802</cdr:x>
      <cdr:y>0.10656</cdr:y>
    </cdr:from>
    <cdr:to>
      <cdr:x>0.97039</cdr:x>
      <cdr:y>0.35246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447655" y="707589"/>
          <a:ext cx="1723597" cy="1632839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High Danger Zone </a:t>
          </a:r>
          <a:r>
            <a:rPr lang="en-US" sz="900"/>
            <a:t>- Occupants of almost any size passenger vehicle are in danger from flood water</a:t>
          </a:r>
        </a:p>
        <a:p xmlns:a="http://schemas.openxmlformats.org/drawingml/2006/main">
          <a:r>
            <a:rPr lang="en-US" sz="900" b="1"/>
            <a:t>Judgement Zone </a:t>
          </a:r>
          <a:r>
            <a:rPr lang="en-US" sz="900"/>
            <a:t>- Danger level</a:t>
          </a:r>
          <a:r>
            <a:rPr lang="en-US" sz="900" baseline="0"/>
            <a:t> is based upson engineering judgement</a:t>
          </a:r>
        </a:p>
        <a:p xmlns:a="http://schemas.openxmlformats.org/drawingml/2006/main">
          <a:r>
            <a:rPr lang="en-US" sz="900" b="1" baseline="0"/>
            <a:t>Low Danger Zone </a:t>
          </a:r>
          <a:r>
            <a:rPr lang="en-US" sz="900" baseline="0"/>
            <a:t>- </a:t>
          </a:r>
          <a:r>
            <a:rPr lang="en-US" sz="900">
              <a:latin typeface="+mn-lt"/>
              <a:ea typeface="+mn-ea"/>
              <a:cs typeface="+mn-cs"/>
            </a:rPr>
            <a:t>Occupants of almost any size passenger vehicle are </a:t>
          </a:r>
          <a:r>
            <a:rPr lang="en-US" sz="900" baseline="0"/>
            <a:t>not seriously threatened by flood water.</a:t>
          </a:r>
          <a:endParaRPr lang="en-US" sz="9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478537" cy="6961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E0127-D5A3-D58F-BECB-F6334FAE78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0.08446</cdr:x>
      <cdr:y>0.7541</cdr:y>
    </cdr:from>
    <cdr:to>
      <cdr:x>0.2486</cdr:x>
      <cdr:y>0.80328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798286" y="5007428"/>
          <a:ext cx="1551214" cy="32657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0.22844</cdr:x>
      <cdr:y>0.59563</cdr:y>
    </cdr:from>
    <cdr:to>
      <cdr:x>0.38009</cdr:x>
      <cdr:y>0.64481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159000" y="3955144"/>
          <a:ext cx="1433285" cy="32657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Judgement Zone</a:t>
          </a:r>
        </a:p>
      </cdr:txBody>
    </cdr:sp>
  </cdr:relSizeAnchor>
  <cdr:relSizeAnchor xmlns:cdr="http://schemas.openxmlformats.org/drawingml/2006/chartDrawing">
    <cdr:from>
      <cdr:x>0.38201</cdr:x>
      <cdr:y>0.44126</cdr:y>
    </cdr:from>
    <cdr:to>
      <cdr:x>0.54614</cdr:x>
      <cdr:y>0.49044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610428" y="2930071"/>
          <a:ext cx="1551214" cy="32657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0.78802</cdr:x>
      <cdr:y>0.10656</cdr:y>
    </cdr:from>
    <cdr:to>
      <cdr:x>0.97039</cdr:x>
      <cdr:y>0.31284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447655" y="707589"/>
          <a:ext cx="1723597" cy="136976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High Danger Zone </a:t>
          </a:r>
          <a:r>
            <a:rPr lang="en-US" sz="900"/>
            <a:t>- Almost any size adult is in danger from flood water</a:t>
          </a:r>
        </a:p>
        <a:p xmlns:a="http://schemas.openxmlformats.org/drawingml/2006/main">
          <a:r>
            <a:rPr lang="en-US" sz="900" b="1"/>
            <a:t>Judgement Zone </a:t>
          </a:r>
          <a:r>
            <a:rPr lang="en-US" sz="900"/>
            <a:t>- Danger level</a:t>
          </a:r>
          <a:r>
            <a:rPr lang="en-US" sz="900" baseline="0"/>
            <a:t> is based upson engineering judgement</a:t>
          </a:r>
        </a:p>
        <a:p xmlns:a="http://schemas.openxmlformats.org/drawingml/2006/main">
          <a:r>
            <a:rPr lang="en-US" sz="900" b="1" baseline="0"/>
            <a:t>Low Danger Zone </a:t>
          </a:r>
          <a:r>
            <a:rPr lang="en-US" sz="900" baseline="0"/>
            <a:t>- Almost any size adult is not seriously threatened by flood water.</a:t>
          </a:r>
          <a:endParaRPr lang="en-US" sz="90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478537" cy="69617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FC4BC-3509-AA66-8FC0-F7ED562A72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0.08542</cdr:x>
      <cdr:y>0.8265</cdr:y>
    </cdr:from>
    <cdr:to>
      <cdr:x>0.24956</cdr:x>
      <cdr:y>0.87568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07311" y="5488225"/>
          <a:ext cx="1551303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Low Danger Zone</a:t>
          </a:r>
        </a:p>
      </cdr:txBody>
    </cdr:sp>
  </cdr:relSizeAnchor>
  <cdr:relSizeAnchor xmlns:cdr="http://schemas.openxmlformats.org/drawingml/2006/chartDrawing">
    <cdr:from>
      <cdr:x>0.21404</cdr:x>
      <cdr:y>0.69399</cdr:y>
    </cdr:from>
    <cdr:to>
      <cdr:x>0.36569</cdr:x>
      <cdr:y>0.74317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022937" y="4608295"/>
          <a:ext cx="143325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Judgement Zone</a:t>
          </a:r>
        </a:p>
      </cdr:txBody>
    </cdr:sp>
  </cdr:relSizeAnchor>
  <cdr:relSizeAnchor xmlns:cdr="http://schemas.openxmlformats.org/drawingml/2006/chartDrawing">
    <cdr:from>
      <cdr:x>0.4156</cdr:x>
      <cdr:y>0.61203</cdr:y>
    </cdr:from>
    <cdr:to>
      <cdr:x>0.57973</cdr:x>
      <cdr:y>0.66121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927914" y="4064021"/>
          <a:ext cx="1551209" cy="32656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1">
                  <a:lumMod val="50000"/>
                </a:schemeClr>
              </a:solidFill>
            </a:rPr>
            <a:t>High Danger Zone</a:t>
          </a:r>
        </a:p>
      </cdr:txBody>
    </cdr:sp>
  </cdr:relSizeAnchor>
  <cdr:relSizeAnchor xmlns:cdr="http://schemas.openxmlformats.org/drawingml/2006/chartDrawing">
    <cdr:from>
      <cdr:x>0.78802</cdr:x>
      <cdr:y>0.10656</cdr:y>
    </cdr:from>
    <cdr:to>
      <cdr:x>0.97039</cdr:x>
      <cdr:y>0.37705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447655" y="707589"/>
          <a:ext cx="1723597" cy="179612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High Danger Zone </a:t>
          </a:r>
          <a:r>
            <a:rPr lang="en-US" sz="900"/>
            <a:t>- Almost any size child is in danger from flood water</a:t>
          </a:r>
        </a:p>
        <a:p xmlns:a="http://schemas.openxmlformats.org/drawingml/2006/main">
          <a:r>
            <a:rPr lang="en-US" sz="900" b="1"/>
            <a:t>Judgement Zone </a:t>
          </a:r>
          <a:r>
            <a:rPr lang="en-US" sz="900"/>
            <a:t>- Danger level</a:t>
          </a:r>
          <a:r>
            <a:rPr lang="en-US" sz="900" baseline="0"/>
            <a:t> is based upson engineering judgement</a:t>
          </a:r>
        </a:p>
        <a:p xmlns:a="http://schemas.openxmlformats.org/drawingml/2006/main">
          <a:r>
            <a:rPr lang="en-US" sz="900" b="1" baseline="0"/>
            <a:t>Low Danger Zone </a:t>
          </a:r>
          <a:r>
            <a:rPr lang="en-US" sz="900" baseline="0"/>
            <a:t>- Almost any size child is not seriously threatened by flood water.</a:t>
          </a:r>
        </a:p>
        <a:p xmlns:a="http://schemas.openxmlformats.org/drawingml/2006/main">
          <a:endParaRPr lang="en-US" sz="900" baseline="0"/>
        </a:p>
        <a:p xmlns:a="http://schemas.openxmlformats.org/drawingml/2006/main">
          <a:r>
            <a:rPr lang="en-US" sz="900" baseline="0"/>
            <a:t>Infants are assumed to be safely attended by adults.</a:t>
          </a:r>
          <a:endParaRPr lang="en-US" sz="9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EEF8-F50E-884F-A8E6-4FD6C13545BB}">
  <sheetPr>
    <tabColor rgb="FFFFFF00"/>
  </sheetPr>
  <dimension ref="B2:W40"/>
  <sheetViews>
    <sheetView tabSelected="1" zoomScale="125" zoomScaleNormal="125" workbookViewId="0">
      <selection activeCell="N13" sqref="N13"/>
    </sheetView>
  </sheetViews>
  <sheetFormatPr baseColWidth="10" defaultRowHeight="15" x14ac:dyDescent="0.2"/>
  <cols>
    <col min="2" max="4" width="8" customWidth="1"/>
    <col min="5" max="5" width="10.1640625" customWidth="1"/>
  </cols>
  <sheetData>
    <row r="2" spans="2:22" ht="24" x14ac:dyDescent="0.3">
      <c r="B2" s="8" t="s">
        <v>33</v>
      </c>
    </row>
    <row r="3" spans="2:22" ht="16" x14ac:dyDescent="0.2">
      <c r="B3" s="28" t="s">
        <v>32</v>
      </c>
      <c r="C3" s="41" t="s">
        <v>58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29"/>
    </row>
    <row r="4" spans="2:22" ht="16" x14ac:dyDescent="0.2">
      <c r="B4" s="30"/>
      <c r="C4" s="31" t="s">
        <v>59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2" t="str">
        <f>(HYPERLINK("[https://mde.maryland.gov/programs/water/DamSafety/Pages/dambreakguidelines.aspx]Structure!N4","Click here"))</f>
        <v>Click here</v>
      </c>
    </row>
    <row r="7" spans="2:22" ht="16" x14ac:dyDescent="0.2">
      <c r="B7" s="42" t="s">
        <v>22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4"/>
      <c r="P7" s="7" t="s">
        <v>25</v>
      </c>
      <c r="Q7" s="6"/>
      <c r="R7" s="6"/>
      <c r="S7" s="6"/>
      <c r="T7" s="6"/>
    </row>
    <row r="8" spans="2:22" ht="16" x14ac:dyDescent="0.2">
      <c r="B8" s="33" t="s">
        <v>24</v>
      </c>
      <c r="C8" s="33" t="s">
        <v>19</v>
      </c>
      <c r="D8" s="33" t="s">
        <v>10</v>
      </c>
      <c r="E8" s="33" t="s">
        <v>20</v>
      </c>
      <c r="F8" s="34"/>
      <c r="G8" s="34"/>
      <c r="H8" s="34"/>
      <c r="I8" s="34"/>
      <c r="J8" s="34"/>
      <c r="K8" s="34"/>
      <c r="L8" s="34"/>
      <c r="M8" s="34"/>
      <c r="P8" t="s">
        <v>31</v>
      </c>
      <c r="Q8" t="s">
        <v>28</v>
      </c>
      <c r="R8" t="s">
        <v>27</v>
      </c>
      <c r="S8" t="s">
        <v>26</v>
      </c>
      <c r="T8" t="s">
        <v>29</v>
      </c>
    </row>
    <row r="9" spans="2:22" ht="16" x14ac:dyDescent="0.2">
      <c r="B9" s="35">
        <v>1</v>
      </c>
      <c r="C9" s="36">
        <f>Q9</f>
        <v>7.7080500000000001</v>
      </c>
      <c r="D9" s="37">
        <f>R9</f>
        <v>2.9003899999999998</v>
      </c>
      <c r="E9" s="38">
        <f>S9*60</f>
        <v>16.9998</v>
      </c>
      <c r="F9" s="34"/>
      <c r="G9" s="34"/>
      <c r="H9" s="34"/>
      <c r="I9" s="34"/>
      <c r="J9" s="34"/>
      <c r="K9" s="34"/>
      <c r="L9" s="34"/>
      <c r="M9" s="34"/>
      <c r="P9">
        <v>1</v>
      </c>
      <c r="Q9">
        <v>7.7080500000000001</v>
      </c>
      <c r="R9">
        <v>2.9003899999999998</v>
      </c>
      <c r="S9">
        <v>0.28333000000000003</v>
      </c>
      <c r="T9">
        <f t="shared" ref="T9:T22" si="0">Q9+1</f>
        <v>8.7080500000000001</v>
      </c>
    </row>
    <row r="10" spans="2:22" ht="16" x14ac:dyDescent="0.2">
      <c r="B10" s="35"/>
      <c r="C10" s="36"/>
      <c r="D10" s="37"/>
      <c r="E10" s="38">
        <f t="shared" ref="E10:E22" si="1">S10*60</f>
        <v>16.9998</v>
      </c>
      <c r="F10" s="34"/>
      <c r="G10" s="34"/>
      <c r="H10" s="34"/>
      <c r="I10" s="34"/>
      <c r="J10" s="34"/>
      <c r="K10" s="34"/>
      <c r="L10" s="34"/>
      <c r="M10" s="34"/>
      <c r="P10">
        <v>2</v>
      </c>
      <c r="Q10">
        <v>7.8914</v>
      </c>
      <c r="R10">
        <v>2.58203</v>
      </c>
      <c r="S10">
        <v>0.28333000000000003</v>
      </c>
      <c r="T10">
        <f t="shared" si="0"/>
        <v>8.8914000000000009</v>
      </c>
      <c r="V10" s="1"/>
    </row>
    <row r="11" spans="2:22" ht="16" x14ac:dyDescent="0.2">
      <c r="B11" s="35">
        <v>3</v>
      </c>
      <c r="C11" s="36">
        <f t="shared" ref="C11:D22" si="2">Q11</f>
        <v>4.2107999999999999</v>
      </c>
      <c r="D11" s="37">
        <f t="shared" si="2"/>
        <v>1.48193</v>
      </c>
      <c r="E11" s="38">
        <f t="shared" si="1"/>
        <v>39</v>
      </c>
      <c r="F11" s="34"/>
      <c r="G11" s="34"/>
      <c r="H11" s="34"/>
      <c r="I11" s="34"/>
      <c r="J11" s="34"/>
      <c r="K11" s="34"/>
      <c r="L11" s="34"/>
      <c r="M11" s="34"/>
      <c r="P11">
        <v>3</v>
      </c>
      <c r="Q11">
        <v>4.2107999999999999</v>
      </c>
      <c r="R11">
        <v>1.48193</v>
      </c>
      <c r="S11">
        <v>0.65</v>
      </c>
      <c r="T11">
        <f t="shared" si="0"/>
        <v>5.2107999999999999</v>
      </c>
      <c r="V11" s="1"/>
    </row>
    <row r="12" spans="2:22" ht="16" x14ac:dyDescent="0.2">
      <c r="B12" s="35">
        <v>4</v>
      </c>
      <c r="C12" s="36">
        <f t="shared" si="2"/>
        <v>6.6831100000000001</v>
      </c>
      <c r="D12" s="37">
        <f t="shared" si="2"/>
        <v>1.6210899999999999</v>
      </c>
      <c r="E12" s="38">
        <f t="shared" si="1"/>
        <v>58.0002</v>
      </c>
      <c r="F12" s="34"/>
      <c r="G12" s="34"/>
      <c r="H12" s="34"/>
      <c r="I12" s="34"/>
      <c r="J12" s="34"/>
      <c r="K12" s="34"/>
      <c r="L12" s="34"/>
      <c r="M12" s="34"/>
      <c r="P12">
        <v>4</v>
      </c>
      <c r="Q12">
        <v>6.6831100000000001</v>
      </c>
      <c r="R12">
        <v>1.6210899999999999</v>
      </c>
      <c r="S12">
        <v>0.96667000000000003</v>
      </c>
      <c r="T12">
        <f t="shared" si="0"/>
        <v>7.6831100000000001</v>
      </c>
      <c r="V12" s="1"/>
    </row>
    <row r="13" spans="2:22" ht="16" x14ac:dyDescent="0.2">
      <c r="B13" s="35" t="s">
        <v>21</v>
      </c>
      <c r="C13" s="36"/>
      <c r="D13" s="37"/>
      <c r="E13" s="38">
        <f t="shared" si="1"/>
        <v>58.0002</v>
      </c>
      <c r="F13" s="34"/>
      <c r="G13" s="34"/>
      <c r="H13" s="34"/>
      <c r="I13" s="34"/>
      <c r="J13" s="34"/>
      <c r="K13" s="34"/>
      <c r="L13" s="34"/>
      <c r="M13" s="34"/>
      <c r="P13">
        <v>5</v>
      </c>
      <c r="Q13">
        <v>6.27766</v>
      </c>
      <c r="R13">
        <v>2.5022000000000002</v>
      </c>
      <c r="S13">
        <v>0.96667000000000003</v>
      </c>
      <c r="T13">
        <f t="shared" si="0"/>
        <v>7.27766</v>
      </c>
      <c r="V13" s="1"/>
    </row>
    <row r="14" spans="2:22" ht="16" x14ac:dyDescent="0.2">
      <c r="B14" s="35"/>
      <c r="C14" s="36"/>
      <c r="D14" s="37"/>
      <c r="E14" s="38">
        <f t="shared" si="1"/>
        <v>60</v>
      </c>
      <c r="F14" s="34"/>
      <c r="G14" s="34"/>
      <c r="H14" s="34"/>
      <c r="I14" s="34"/>
      <c r="J14" s="34"/>
      <c r="K14" s="34"/>
      <c r="L14" s="34"/>
      <c r="M14" s="34"/>
      <c r="P14">
        <v>6</v>
      </c>
      <c r="Q14">
        <v>3.7245200000000001</v>
      </c>
      <c r="R14">
        <v>1.75098</v>
      </c>
      <c r="S14">
        <v>1</v>
      </c>
      <c r="T14">
        <f t="shared" si="0"/>
        <v>4.7245200000000001</v>
      </c>
      <c r="V14" s="1"/>
    </row>
    <row r="15" spans="2:22" ht="16" x14ac:dyDescent="0.2">
      <c r="B15" s="35"/>
      <c r="C15" s="36"/>
      <c r="D15" s="37"/>
      <c r="E15" s="38">
        <f t="shared" si="1"/>
        <v>61.0002</v>
      </c>
      <c r="F15" s="34"/>
      <c r="G15" s="34"/>
      <c r="H15" s="34"/>
      <c r="I15" s="34"/>
      <c r="J15" s="34"/>
      <c r="K15" s="34"/>
      <c r="L15" s="34"/>
      <c r="M15" s="34"/>
      <c r="P15">
        <v>7</v>
      </c>
      <c r="Q15">
        <v>4.6315799999999996</v>
      </c>
      <c r="R15">
        <v>1.6989700000000001</v>
      </c>
      <c r="S15">
        <v>1.01667</v>
      </c>
      <c r="T15">
        <f t="shared" si="0"/>
        <v>5.6315799999999996</v>
      </c>
      <c r="V15" s="1"/>
    </row>
    <row r="16" spans="2:22" ht="16" x14ac:dyDescent="0.2">
      <c r="B16" s="35">
        <v>8</v>
      </c>
      <c r="C16" s="36">
        <f t="shared" si="2"/>
        <v>5.46373</v>
      </c>
      <c r="D16" s="37">
        <f t="shared" si="2"/>
        <v>0.67554000000000003</v>
      </c>
      <c r="E16" s="38">
        <f t="shared" si="1"/>
        <v>76.000199999999992</v>
      </c>
      <c r="F16" s="34"/>
      <c r="G16" s="34"/>
      <c r="H16" s="34"/>
      <c r="I16" s="34"/>
      <c r="J16" s="34"/>
      <c r="K16" s="34"/>
      <c r="L16" s="34"/>
      <c r="M16" s="34"/>
      <c r="P16">
        <v>8</v>
      </c>
      <c r="Q16">
        <v>5.46373</v>
      </c>
      <c r="R16">
        <v>0.67554000000000003</v>
      </c>
      <c r="S16">
        <v>1.26667</v>
      </c>
      <c r="T16">
        <f t="shared" si="0"/>
        <v>6.46373</v>
      </c>
      <c r="V16" s="1"/>
    </row>
    <row r="17" spans="2:23" ht="16" x14ac:dyDescent="0.2">
      <c r="B17" s="35"/>
      <c r="C17" s="36"/>
      <c r="D17" s="37"/>
      <c r="E17" s="38">
        <f t="shared" si="1"/>
        <v>60</v>
      </c>
      <c r="F17" s="34"/>
      <c r="G17" s="34"/>
      <c r="H17" s="34"/>
      <c r="I17" s="34"/>
      <c r="J17" s="34"/>
      <c r="K17" s="34"/>
      <c r="L17" s="34"/>
      <c r="M17" s="34"/>
      <c r="P17">
        <v>9</v>
      </c>
      <c r="Q17">
        <v>5.3832199999999997</v>
      </c>
      <c r="R17">
        <v>2.0178199999999999</v>
      </c>
      <c r="S17">
        <v>1</v>
      </c>
      <c r="T17">
        <f t="shared" si="0"/>
        <v>6.3832199999999997</v>
      </c>
      <c r="V17" s="1"/>
    </row>
    <row r="18" spans="2:23" ht="16" x14ac:dyDescent="0.2">
      <c r="B18" s="35">
        <v>10</v>
      </c>
      <c r="C18" s="36">
        <f t="shared" si="2"/>
        <v>4.0642399999999999</v>
      </c>
      <c r="D18" s="37">
        <f t="shared" si="2"/>
        <v>1.3481399999999999</v>
      </c>
      <c r="E18" s="38">
        <f t="shared" si="1"/>
        <v>60</v>
      </c>
      <c r="F18" s="34"/>
      <c r="G18" s="34"/>
      <c r="H18" s="34"/>
      <c r="I18" s="34"/>
      <c r="J18" s="34"/>
      <c r="K18" s="34"/>
      <c r="L18" s="34"/>
      <c r="M18" s="34"/>
      <c r="P18">
        <v>10</v>
      </c>
      <c r="Q18">
        <v>4.0642399999999999</v>
      </c>
      <c r="R18">
        <v>1.3481399999999999</v>
      </c>
      <c r="S18">
        <v>1</v>
      </c>
      <c r="T18">
        <f t="shared" si="0"/>
        <v>5.0642399999999999</v>
      </c>
      <c r="V18" s="1"/>
    </row>
    <row r="19" spans="2:23" ht="16" x14ac:dyDescent="0.2">
      <c r="B19" s="35">
        <v>11</v>
      </c>
      <c r="C19" s="36">
        <f t="shared" si="2"/>
        <v>4.3298300000000003</v>
      </c>
      <c r="D19" s="37">
        <f t="shared" si="2"/>
        <v>0.60155999999999998</v>
      </c>
      <c r="E19" s="38">
        <f t="shared" si="1"/>
        <v>61.0002</v>
      </c>
      <c r="F19" s="34"/>
      <c r="G19" s="34"/>
      <c r="H19" s="34"/>
      <c r="I19" s="34"/>
      <c r="J19" s="34"/>
      <c r="K19" s="34"/>
      <c r="L19" s="34"/>
      <c r="M19" s="34"/>
      <c r="P19">
        <v>11</v>
      </c>
      <c r="Q19">
        <v>4.3298300000000003</v>
      </c>
      <c r="R19">
        <v>0.60155999999999998</v>
      </c>
      <c r="S19">
        <v>1.01667</v>
      </c>
      <c r="T19">
        <f t="shared" si="0"/>
        <v>5.3298300000000003</v>
      </c>
      <c r="V19" s="1"/>
    </row>
    <row r="20" spans="2:23" ht="16" x14ac:dyDescent="0.2">
      <c r="B20" s="35"/>
      <c r="C20" s="36"/>
      <c r="D20" s="37"/>
      <c r="E20" s="38">
        <f t="shared" si="1"/>
        <v>61.999800000000008</v>
      </c>
      <c r="F20" s="34"/>
      <c r="G20" s="34"/>
      <c r="H20" s="34"/>
      <c r="I20" s="34"/>
      <c r="J20" s="34"/>
      <c r="K20" s="34"/>
      <c r="L20" s="34"/>
      <c r="M20" s="34"/>
      <c r="P20">
        <v>12</v>
      </c>
      <c r="Q20">
        <v>4.0669300000000002</v>
      </c>
      <c r="R20">
        <v>0.57642000000000004</v>
      </c>
      <c r="S20">
        <v>1.0333300000000001</v>
      </c>
      <c r="T20">
        <f t="shared" si="0"/>
        <v>5.0669300000000002</v>
      </c>
      <c r="V20" s="1"/>
    </row>
    <row r="21" spans="2:23" ht="16" x14ac:dyDescent="0.2">
      <c r="B21" s="35">
        <v>13</v>
      </c>
      <c r="C21" s="36">
        <f t="shared" si="2"/>
        <v>4.6095800000000002</v>
      </c>
      <c r="D21" s="37">
        <f t="shared" si="2"/>
        <v>1.2714799999999999</v>
      </c>
      <c r="E21" s="38">
        <f t="shared" si="1"/>
        <v>66</v>
      </c>
      <c r="F21" s="34"/>
      <c r="G21" s="34"/>
      <c r="H21" s="34"/>
      <c r="I21" s="34"/>
      <c r="J21" s="34"/>
      <c r="K21" s="34"/>
      <c r="L21" s="34"/>
      <c r="M21" s="34"/>
      <c r="P21">
        <v>13</v>
      </c>
      <c r="Q21">
        <v>4.6095800000000002</v>
      </c>
      <c r="R21">
        <v>1.2714799999999999</v>
      </c>
      <c r="S21" s="4">
        <v>1.1000000000000001</v>
      </c>
      <c r="T21">
        <f t="shared" si="0"/>
        <v>5.6095800000000002</v>
      </c>
      <c r="V21" s="1"/>
    </row>
    <row r="22" spans="2:23" ht="16" x14ac:dyDescent="0.2">
      <c r="B22" s="35">
        <v>14</v>
      </c>
      <c r="C22" s="36">
        <f t="shared" si="2"/>
        <v>6.32</v>
      </c>
      <c r="D22" s="37">
        <f t="shared" si="2"/>
        <v>0.04</v>
      </c>
      <c r="E22" s="38">
        <f t="shared" si="1"/>
        <v>66.78</v>
      </c>
      <c r="F22" s="34"/>
      <c r="G22" s="34"/>
      <c r="H22" s="34"/>
      <c r="I22" s="34"/>
      <c r="J22" s="34"/>
      <c r="K22" s="34"/>
      <c r="L22" s="34"/>
      <c r="M22" s="34"/>
      <c r="P22">
        <v>14</v>
      </c>
      <c r="Q22" s="4">
        <v>6.32</v>
      </c>
      <c r="R22" s="4">
        <v>0.04</v>
      </c>
      <c r="S22" s="5">
        <v>1.113</v>
      </c>
      <c r="T22">
        <f t="shared" si="0"/>
        <v>7.32</v>
      </c>
      <c r="V22" s="1"/>
    </row>
    <row r="23" spans="2:23" ht="16" x14ac:dyDescent="0.2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T23" s="2"/>
      <c r="U23" s="2"/>
      <c r="W23" s="1"/>
    </row>
    <row r="24" spans="2:23" ht="16" x14ac:dyDescent="0.2">
      <c r="B24" s="45" t="s">
        <v>23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7"/>
    </row>
    <row r="25" spans="2:23" ht="16" x14ac:dyDescent="0.2">
      <c r="B25" s="39" t="s">
        <v>24</v>
      </c>
      <c r="C25" s="39" t="s">
        <v>19</v>
      </c>
      <c r="D25" s="39" t="s">
        <v>10</v>
      </c>
      <c r="E25" s="39" t="s">
        <v>20</v>
      </c>
      <c r="F25" s="34"/>
      <c r="G25" s="34"/>
      <c r="H25" s="34"/>
      <c r="I25" s="34"/>
      <c r="J25" s="34"/>
      <c r="K25" s="34"/>
      <c r="L25" s="34"/>
      <c r="M25" s="34"/>
    </row>
    <row r="26" spans="2:23" ht="16" x14ac:dyDescent="0.2">
      <c r="B26" s="35"/>
      <c r="C26" s="40"/>
      <c r="D26" s="35"/>
      <c r="E26" s="38"/>
      <c r="F26" s="34"/>
      <c r="G26" s="34"/>
      <c r="H26" s="34"/>
      <c r="I26" s="34"/>
      <c r="J26" s="34"/>
      <c r="K26" s="34"/>
      <c r="L26" s="34"/>
      <c r="M26" s="34"/>
    </row>
    <row r="27" spans="2:23" ht="16" x14ac:dyDescent="0.2">
      <c r="B27" s="35"/>
      <c r="C27" s="40"/>
      <c r="D27" s="35"/>
      <c r="E27" s="38"/>
      <c r="F27" s="34"/>
      <c r="G27" s="34"/>
      <c r="H27" s="34"/>
      <c r="I27" s="34"/>
      <c r="J27" s="34"/>
      <c r="K27" s="34"/>
      <c r="L27" s="34"/>
      <c r="M27" s="34"/>
      <c r="Q27" s="4"/>
      <c r="R27" s="4"/>
    </row>
    <row r="28" spans="2:23" ht="16" x14ac:dyDescent="0.2">
      <c r="B28" s="35"/>
      <c r="C28" s="40"/>
      <c r="D28" s="35"/>
      <c r="E28" s="38"/>
      <c r="F28" s="34"/>
      <c r="G28" s="34"/>
      <c r="H28" s="34"/>
      <c r="I28" s="34"/>
      <c r="J28" s="34"/>
      <c r="K28" s="34"/>
      <c r="L28" s="34"/>
      <c r="M28" s="34"/>
      <c r="Q28" s="4"/>
      <c r="R28" s="4"/>
    </row>
    <row r="29" spans="2:23" ht="16" x14ac:dyDescent="0.2">
      <c r="B29" s="35"/>
      <c r="C29" s="40"/>
      <c r="D29" s="35"/>
      <c r="E29" s="38"/>
      <c r="F29" s="34"/>
      <c r="G29" s="34"/>
      <c r="H29" s="34"/>
      <c r="I29" s="34"/>
      <c r="J29" s="34"/>
      <c r="K29" s="34"/>
      <c r="L29" s="34"/>
      <c r="M29" s="34"/>
      <c r="Q29" s="4"/>
      <c r="R29" s="4"/>
    </row>
    <row r="30" spans="2:23" ht="16" x14ac:dyDescent="0.2">
      <c r="B30" s="35">
        <v>5</v>
      </c>
      <c r="C30" s="36">
        <f t="shared" ref="C30:D37" si="3">Q13</f>
        <v>6.27766</v>
      </c>
      <c r="D30" s="37">
        <f t="shared" si="3"/>
        <v>2.5022000000000002</v>
      </c>
      <c r="E30" s="38">
        <f t="shared" ref="E30:E37" si="4">S13*60</f>
        <v>58.0002</v>
      </c>
      <c r="F30" s="34"/>
      <c r="G30" s="34"/>
      <c r="H30" s="34"/>
      <c r="I30" s="34"/>
      <c r="J30" s="34"/>
      <c r="K30" s="34"/>
      <c r="L30" s="34"/>
      <c r="M30" s="34"/>
      <c r="Q30" s="4"/>
      <c r="R30" s="4"/>
    </row>
    <row r="31" spans="2:23" ht="16" x14ac:dyDescent="0.2">
      <c r="B31" s="35">
        <v>6</v>
      </c>
      <c r="C31" s="36">
        <f t="shared" si="3"/>
        <v>3.7245200000000001</v>
      </c>
      <c r="D31" s="37">
        <f t="shared" si="3"/>
        <v>1.75098</v>
      </c>
      <c r="E31" s="38">
        <f t="shared" si="4"/>
        <v>60</v>
      </c>
      <c r="F31" s="34"/>
      <c r="G31" s="34"/>
      <c r="H31" s="34"/>
      <c r="I31" s="34"/>
      <c r="J31" s="34"/>
      <c r="K31" s="34"/>
      <c r="L31" s="34"/>
      <c r="M31" s="34"/>
      <c r="Q31" s="4"/>
      <c r="R31" s="4"/>
    </row>
    <row r="32" spans="2:23" ht="16" x14ac:dyDescent="0.2">
      <c r="B32" s="35">
        <v>7</v>
      </c>
      <c r="C32" s="36">
        <f t="shared" si="3"/>
        <v>4.6315799999999996</v>
      </c>
      <c r="D32" s="37">
        <f t="shared" si="3"/>
        <v>1.6989700000000001</v>
      </c>
      <c r="E32" s="38">
        <f t="shared" si="4"/>
        <v>61.0002</v>
      </c>
      <c r="F32" s="34"/>
      <c r="G32" s="34"/>
      <c r="H32" s="34"/>
      <c r="I32" s="34"/>
      <c r="J32" s="34"/>
      <c r="K32" s="34"/>
      <c r="L32" s="34"/>
      <c r="M32" s="34"/>
      <c r="Q32" s="4"/>
      <c r="R32" s="4"/>
    </row>
    <row r="33" spans="2:18" ht="16" x14ac:dyDescent="0.2">
      <c r="B33" s="35"/>
      <c r="C33" s="36"/>
      <c r="D33" s="37"/>
      <c r="E33" s="38"/>
      <c r="F33" s="34"/>
      <c r="G33" s="34"/>
      <c r="H33" s="34"/>
      <c r="I33" s="34"/>
      <c r="J33" s="34"/>
      <c r="K33" s="34"/>
      <c r="L33" s="34"/>
      <c r="M33" s="34"/>
      <c r="Q33" s="4"/>
      <c r="R33" s="4"/>
    </row>
    <row r="34" spans="2:18" ht="16" x14ac:dyDescent="0.2">
      <c r="B34" s="35">
        <v>9</v>
      </c>
      <c r="C34" s="36">
        <f t="shared" si="3"/>
        <v>5.3832199999999997</v>
      </c>
      <c r="D34" s="37">
        <f t="shared" si="3"/>
        <v>2.0178199999999999</v>
      </c>
      <c r="E34" s="38">
        <f t="shared" si="4"/>
        <v>60</v>
      </c>
      <c r="F34" s="34"/>
      <c r="G34" s="34"/>
      <c r="H34" s="34"/>
      <c r="I34" s="34"/>
      <c r="J34" s="34"/>
      <c r="K34" s="34"/>
      <c r="L34" s="34"/>
      <c r="M34" s="34"/>
      <c r="Q34" s="4"/>
      <c r="R34" s="4"/>
    </row>
    <row r="35" spans="2:18" ht="16" x14ac:dyDescent="0.2">
      <c r="B35" s="35"/>
      <c r="C35" s="36"/>
      <c r="D35" s="37"/>
      <c r="E35" s="38"/>
      <c r="F35" s="34"/>
      <c r="G35" s="34"/>
      <c r="H35" s="34"/>
      <c r="I35" s="34"/>
      <c r="J35" s="34"/>
      <c r="K35" s="34"/>
      <c r="L35" s="34"/>
      <c r="M35" s="34"/>
      <c r="Q35" s="4"/>
      <c r="R35" s="4"/>
    </row>
    <row r="36" spans="2:18" ht="16" x14ac:dyDescent="0.2">
      <c r="B36" s="35"/>
      <c r="C36" s="36"/>
      <c r="D36" s="37"/>
      <c r="E36" s="38"/>
      <c r="F36" s="34"/>
      <c r="G36" s="34"/>
      <c r="H36" s="34"/>
      <c r="I36" s="34"/>
      <c r="J36" s="34"/>
      <c r="K36" s="34"/>
      <c r="L36" s="34"/>
      <c r="M36" s="34"/>
      <c r="Q36" s="4"/>
      <c r="R36" s="4"/>
    </row>
    <row r="37" spans="2:18" ht="16" x14ac:dyDescent="0.2">
      <c r="B37" s="35">
        <v>12</v>
      </c>
      <c r="C37" s="36">
        <f t="shared" si="3"/>
        <v>4.0669300000000002</v>
      </c>
      <c r="D37" s="37">
        <f t="shared" si="3"/>
        <v>0.57642000000000004</v>
      </c>
      <c r="E37" s="38">
        <f t="shared" si="4"/>
        <v>61.999800000000008</v>
      </c>
      <c r="F37" s="34"/>
      <c r="G37" s="34"/>
      <c r="H37" s="34"/>
      <c r="I37" s="34"/>
      <c r="J37" s="34"/>
      <c r="K37" s="34"/>
      <c r="L37" s="34"/>
      <c r="M37" s="34"/>
      <c r="Q37" s="4"/>
      <c r="R37" s="4"/>
    </row>
    <row r="38" spans="2:18" x14ac:dyDescent="0.2">
      <c r="C38" s="4"/>
      <c r="E38" s="4"/>
      <c r="Q38" s="4"/>
      <c r="R38" s="4"/>
    </row>
    <row r="39" spans="2:18" x14ac:dyDescent="0.2">
      <c r="C39" s="4"/>
      <c r="E39" s="4"/>
      <c r="Q39" s="4"/>
      <c r="R39" s="4"/>
    </row>
    <row r="40" spans="2:18" ht="16" x14ac:dyDescent="0.2">
      <c r="Q40" s="5"/>
      <c r="R40" s="4"/>
    </row>
  </sheetData>
  <mergeCells count="3">
    <mergeCell ref="C3:M3"/>
    <mergeCell ref="B7:M7"/>
    <mergeCell ref="B24:M24"/>
  </mergeCells>
  <pageMargins left="0.7" right="0.7" top="0.75" bottom="0.75" header="0.3" footer="0.3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3"/>
  <sheetViews>
    <sheetView topLeftCell="A31" workbookViewId="0">
      <selection activeCell="R67" sqref="R67"/>
    </sheetView>
  </sheetViews>
  <sheetFormatPr baseColWidth="10" defaultColWidth="8.83203125" defaultRowHeight="15" x14ac:dyDescent="0.2"/>
  <cols>
    <col min="1" max="1" width="9.6640625" bestFit="1" customWidth="1"/>
    <col min="5" max="5" width="9.6640625" bestFit="1" customWidth="1"/>
    <col min="9" max="9" width="9.6640625" bestFit="1" customWidth="1"/>
  </cols>
  <sheetData>
    <row r="1" spans="1:21" ht="15" customHeight="1" x14ac:dyDescent="0.2">
      <c r="A1" s="49" t="s">
        <v>0</v>
      </c>
      <c r="B1" s="49"/>
      <c r="C1" s="49"/>
      <c r="E1" s="49" t="s">
        <v>1</v>
      </c>
      <c r="F1" s="49"/>
      <c r="G1" s="49"/>
      <c r="I1" s="49" t="s">
        <v>2</v>
      </c>
      <c r="J1" s="49"/>
      <c r="K1" s="49"/>
      <c r="M1" s="49" t="s">
        <v>3</v>
      </c>
      <c r="N1" s="49"/>
      <c r="O1" s="49"/>
      <c r="Q1" s="49" t="s">
        <v>4</v>
      </c>
      <c r="R1" s="49"/>
      <c r="S1" s="49"/>
    </row>
    <row r="2" spans="1:21" x14ac:dyDescent="0.2">
      <c r="A2" t="s">
        <v>5</v>
      </c>
      <c r="B2" t="s">
        <v>6</v>
      </c>
      <c r="C2" t="s">
        <v>7</v>
      </c>
      <c r="E2" t="s">
        <v>5</v>
      </c>
      <c r="F2" t="s">
        <v>6</v>
      </c>
      <c r="G2" t="s">
        <v>7</v>
      </c>
      <c r="K2" t="s">
        <v>5</v>
      </c>
      <c r="L2" t="s">
        <v>6</v>
      </c>
      <c r="M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">
      <c r="A3">
        <v>0</v>
      </c>
      <c r="B3">
        <v>3</v>
      </c>
      <c r="C3">
        <v>6</v>
      </c>
      <c r="E3">
        <v>0</v>
      </c>
      <c r="F3">
        <v>1.9</v>
      </c>
      <c r="G3">
        <v>2.5</v>
      </c>
      <c r="K3">
        <v>0</v>
      </c>
      <c r="L3">
        <v>2</v>
      </c>
      <c r="M3">
        <v>3</v>
      </c>
      <c r="O3">
        <v>0</v>
      </c>
      <c r="P3">
        <v>3</v>
      </c>
      <c r="Q3">
        <f>2.35/0.5</f>
        <v>4.7</v>
      </c>
      <c r="S3">
        <v>0</v>
      </c>
      <c r="T3">
        <v>1.55</v>
      </c>
      <c r="U3">
        <v>3</v>
      </c>
    </row>
    <row r="4" spans="1:21" x14ac:dyDescent="0.2">
      <c r="A4">
        <v>1</v>
      </c>
      <c r="E4">
        <v>2</v>
      </c>
      <c r="F4">
        <v>1.88</v>
      </c>
      <c r="G4">
        <v>2.48</v>
      </c>
      <c r="K4">
        <v>2</v>
      </c>
      <c r="L4">
        <v>1.85</v>
      </c>
      <c r="M4">
        <v>2.85</v>
      </c>
      <c r="O4">
        <v>1</v>
      </c>
      <c r="P4">
        <f>1.19/0.5</f>
        <v>2.38</v>
      </c>
      <c r="Q4">
        <f>2.26/0.5</f>
        <v>4.5199999999999996</v>
      </c>
      <c r="S4">
        <v>1</v>
      </c>
      <c r="T4">
        <v>0.95</v>
      </c>
      <c r="U4">
        <v>2.25</v>
      </c>
    </row>
    <row r="5" spans="1:21" x14ac:dyDescent="0.2">
      <c r="A5">
        <v>2</v>
      </c>
      <c r="B5">
        <v>2.9</v>
      </c>
      <c r="E5">
        <v>4</v>
      </c>
      <c r="F5">
        <v>1.83</v>
      </c>
      <c r="G5">
        <v>2.4300000000000002</v>
      </c>
      <c r="K5">
        <v>4</v>
      </c>
      <c r="L5">
        <v>1.65</v>
      </c>
      <c r="M5">
        <v>2.5499999999999998</v>
      </c>
      <c r="O5">
        <v>2</v>
      </c>
      <c r="P5">
        <f>0.75/0.5</f>
        <v>1.5</v>
      </c>
      <c r="Q5">
        <f>1.97/0.5</f>
        <v>3.94</v>
      </c>
      <c r="S5">
        <v>2</v>
      </c>
      <c r="T5">
        <v>0.5</v>
      </c>
      <c r="U5">
        <v>1.3</v>
      </c>
    </row>
    <row r="6" spans="1:21" x14ac:dyDescent="0.2">
      <c r="A6">
        <v>2.5</v>
      </c>
      <c r="C6">
        <v>5.5</v>
      </c>
      <c r="E6">
        <v>6</v>
      </c>
      <c r="F6">
        <v>1.75</v>
      </c>
      <c r="G6">
        <v>2.36</v>
      </c>
    </row>
    <row r="7" spans="1:21" x14ac:dyDescent="0.2">
      <c r="A7">
        <v>3</v>
      </c>
      <c r="E7">
        <v>8</v>
      </c>
      <c r="F7">
        <v>1.66</v>
      </c>
      <c r="G7">
        <v>2.27</v>
      </c>
      <c r="K7">
        <v>6</v>
      </c>
      <c r="L7">
        <v>1.4</v>
      </c>
      <c r="M7">
        <v>2.25</v>
      </c>
      <c r="O7">
        <v>3</v>
      </c>
      <c r="P7">
        <f>0.52/0.5</f>
        <v>1.04</v>
      </c>
      <c r="Q7">
        <f>1.46/0.5</f>
        <v>2.92</v>
      </c>
      <c r="S7">
        <v>3</v>
      </c>
      <c r="T7">
        <v>0.25</v>
      </c>
      <c r="U7">
        <v>0.8</v>
      </c>
    </row>
    <row r="8" spans="1:21" x14ac:dyDescent="0.2">
      <c r="A8">
        <v>4</v>
      </c>
      <c r="B8">
        <v>2.65</v>
      </c>
      <c r="E8">
        <v>10</v>
      </c>
      <c r="F8">
        <v>1.55</v>
      </c>
      <c r="G8">
        <v>2.17</v>
      </c>
      <c r="K8">
        <v>8</v>
      </c>
      <c r="L8">
        <v>1.28</v>
      </c>
      <c r="M8">
        <v>2.0499999999999998</v>
      </c>
      <c r="O8">
        <v>4</v>
      </c>
      <c r="P8">
        <f>0.37/0.5</f>
        <v>0.74</v>
      </c>
      <c r="Q8">
        <f>1.04/0.5</f>
        <v>2.08</v>
      </c>
      <c r="S8">
        <v>4</v>
      </c>
      <c r="T8">
        <v>0.08</v>
      </c>
      <c r="U8">
        <v>0.5</v>
      </c>
    </row>
    <row r="9" spans="1:21" x14ac:dyDescent="0.2">
      <c r="A9">
        <v>5</v>
      </c>
      <c r="C9">
        <v>5.4</v>
      </c>
      <c r="E9">
        <v>12</v>
      </c>
      <c r="F9">
        <v>1.44</v>
      </c>
      <c r="G9">
        <v>2.06</v>
      </c>
      <c r="K9">
        <v>10</v>
      </c>
      <c r="L9">
        <v>1.1499999999999999</v>
      </c>
      <c r="M9">
        <v>1.85</v>
      </c>
      <c r="O9">
        <v>5</v>
      </c>
      <c r="P9">
        <f>0.28/0.5</f>
        <v>0.56000000000000005</v>
      </c>
      <c r="Q9">
        <f>0.79/0.5</f>
        <v>1.58</v>
      </c>
      <c r="S9">
        <v>5</v>
      </c>
      <c r="T9">
        <v>0</v>
      </c>
      <c r="U9">
        <v>0.27</v>
      </c>
    </row>
    <row r="10" spans="1:21" x14ac:dyDescent="0.2">
      <c r="A10">
        <v>6</v>
      </c>
      <c r="E10">
        <v>14</v>
      </c>
      <c r="F10">
        <v>1.37</v>
      </c>
      <c r="G10">
        <v>1.97</v>
      </c>
      <c r="K10">
        <v>12</v>
      </c>
      <c r="L10">
        <v>1.08</v>
      </c>
      <c r="M10">
        <v>1.75</v>
      </c>
      <c r="O10">
        <v>6</v>
      </c>
      <c r="P10">
        <f>0.18/0.5</f>
        <v>0.36</v>
      </c>
      <c r="Q10">
        <f>0.58/0.5</f>
        <v>1.1599999999999999</v>
      </c>
      <c r="S10">
        <v>6</v>
      </c>
      <c r="T10">
        <v>0</v>
      </c>
      <c r="U10">
        <v>0.11</v>
      </c>
    </row>
    <row r="11" spans="1:21" x14ac:dyDescent="0.2">
      <c r="A11">
        <v>7</v>
      </c>
      <c r="E11">
        <v>16</v>
      </c>
      <c r="F11">
        <v>1.33</v>
      </c>
      <c r="G11">
        <v>1.91</v>
      </c>
      <c r="K11">
        <v>14</v>
      </c>
      <c r="L11">
        <v>1</v>
      </c>
      <c r="M11">
        <v>1.63</v>
      </c>
      <c r="O11">
        <v>7</v>
      </c>
      <c r="P11">
        <f>0.12/0.5</f>
        <v>0.24</v>
      </c>
      <c r="Q11">
        <f>0.42/0.5</f>
        <v>0.84</v>
      </c>
      <c r="S11">
        <v>7</v>
      </c>
      <c r="T11">
        <v>0</v>
      </c>
      <c r="U11">
        <v>0</v>
      </c>
    </row>
    <row r="12" spans="1:21" x14ac:dyDescent="0.2">
      <c r="A12">
        <v>8</v>
      </c>
      <c r="B12">
        <f>0.37/0.2</f>
        <v>1.8499999999999999</v>
      </c>
      <c r="K12">
        <v>16</v>
      </c>
      <c r="L12">
        <v>0.98</v>
      </c>
      <c r="M12">
        <v>1.59</v>
      </c>
      <c r="O12">
        <v>8</v>
      </c>
      <c r="P12">
        <f>0.08/0.5</f>
        <v>0.16</v>
      </c>
      <c r="Q12">
        <f>0.32/0.5</f>
        <v>0.64</v>
      </c>
      <c r="S12">
        <v>8</v>
      </c>
      <c r="T12">
        <v>0</v>
      </c>
      <c r="U12">
        <v>0</v>
      </c>
    </row>
    <row r="13" spans="1:21" x14ac:dyDescent="0.2">
      <c r="A13">
        <v>9</v>
      </c>
      <c r="O13">
        <v>9</v>
      </c>
      <c r="P13">
        <f>0.04/0.5</f>
        <v>0.08</v>
      </c>
      <c r="Q13">
        <f>0.22/0.5</f>
        <v>0.44</v>
      </c>
    </row>
    <row r="14" spans="1:21" x14ac:dyDescent="0.2">
      <c r="A14">
        <v>10</v>
      </c>
      <c r="B14">
        <f>0.28/0.2</f>
        <v>1.4000000000000001</v>
      </c>
      <c r="C14">
        <v>4.5</v>
      </c>
      <c r="O14">
        <v>10</v>
      </c>
      <c r="P14">
        <f>0.02/0.5</f>
        <v>0.04</v>
      </c>
      <c r="Q14">
        <f>0.17/0.5</f>
        <v>0.34</v>
      </c>
    </row>
    <row r="15" spans="1:21" x14ac:dyDescent="0.2">
      <c r="A15">
        <v>11</v>
      </c>
      <c r="O15">
        <v>11</v>
      </c>
      <c r="P15">
        <v>0</v>
      </c>
      <c r="Q15">
        <f>0.12/0.5</f>
        <v>0.24</v>
      </c>
    </row>
    <row r="16" spans="1:21" x14ac:dyDescent="0.2">
      <c r="A16">
        <v>12</v>
      </c>
      <c r="B16">
        <v>1.05</v>
      </c>
      <c r="C16">
        <v>3.5</v>
      </c>
      <c r="O16">
        <v>12</v>
      </c>
      <c r="P16">
        <v>0</v>
      </c>
      <c r="Q16">
        <f>0.09/0.5</f>
        <v>0.18</v>
      </c>
    </row>
    <row r="17" spans="1:3" x14ac:dyDescent="0.2">
      <c r="A17">
        <v>13</v>
      </c>
    </row>
    <row r="18" spans="1:3" x14ac:dyDescent="0.2">
      <c r="A18">
        <v>14</v>
      </c>
      <c r="B18">
        <v>0.75</v>
      </c>
      <c r="C18">
        <v>2.75</v>
      </c>
    </row>
    <row r="19" spans="1:3" x14ac:dyDescent="0.2">
      <c r="A19">
        <v>15</v>
      </c>
    </row>
    <row r="20" spans="1:3" x14ac:dyDescent="0.2">
      <c r="A20">
        <v>16</v>
      </c>
      <c r="B20">
        <f>0.1/0.2</f>
        <v>0.5</v>
      </c>
      <c r="C20">
        <v>1.8</v>
      </c>
    </row>
    <row r="21" spans="1:3" x14ac:dyDescent="0.2">
      <c r="A21">
        <v>17</v>
      </c>
    </row>
    <row r="22" spans="1:3" x14ac:dyDescent="0.2">
      <c r="A22">
        <v>18</v>
      </c>
      <c r="B22">
        <v>0.27</v>
      </c>
      <c r="C22">
        <v>1.6</v>
      </c>
    </row>
    <row r="23" spans="1:3" x14ac:dyDescent="0.2">
      <c r="A23">
        <v>19</v>
      </c>
    </row>
    <row r="24" spans="1:3" x14ac:dyDescent="0.2">
      <c r="A24">
        <v>20</v>
      </c>
      <c r="B24">
        <f>0.02/0.2</f>
        <v>9.9999999999999992E-2</v>
      </c>
      <c r="C24">
        <v>1.25</v>
      </c>
    </row>
    <row r="25" spans="1:3" x14ac:dyDescent="0.2">
      <c r="A25">
        <v>21</v>
      </c>
    </row>
    <row r="26" spans="1:3" x14ac:dyDescent="0.2">
      <c r="A26">
        <v>21.5</v>
      </c>
      <c r="C26">
        <v>1.1000000000000001</v>
      </c>
    </row>
    <row r="27" spans="1:3" x14ac:dyDescent="0.2">
      <c r="A27">
        <v>22</v>
      </c>
      <c r="B27">
        <v>0</v>
      </c>
    </row>
    <row r="28" spans="1:3" x14ac:dyDescent="0.2">
      <c r="A28">
        <v>23</v>
      </c>
      <c r="B28">
        <v>0</v>
      </c>
      <c r="C28">
        <v>1.2</v>
      </c>
    </row>
    <row r="29" spans="1:3" x14ac:dyDescent="0.2">
      <c r="A29">
        <v>24</v>
      </c>
      <c r="B29">
        <v>0</v>
      </c>
    </row>
    <row r="30" spans="1:3" x14ac:dyDescent="0.2">
      <c r="A30">
        <v>25</v>
      </c>
      <c r="B30">
        <v>0</v>
      </c>
      <c r="C30">
        <v>0.4</v>
      </c>
    </row>
    <row r="31" spans="1:3" x14ac:dyDescent="0.2">
      <c r="A31">
        <v>30</v>
      </c>
    </row>
    <row r="35" spans="1:19" x14ac:dyDescent="0.2">
      <c r="A35" s="48" t="s">
        <v>0</v>
      </c>
      <c r="B35" s="48"/>
      <c r="C35" s="4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P35" s="48" t="s">
        <v>0</v>
      </c>
      <c r="Q35" s="48"/>
      <c r="R35" s="48"/>
    </row>
    <row r="36" spans="1:19" x14ac:dyDescent="0.2">
      <c r="A36" s="3"/>
      <c r="B36" s="3" t="s">
        <v>6</v>
      </c>
      <c r="C36" s="3" t="s">
        <v>7</v>
      </c>
      <c r="D36" s="3" t="s">
        <v>8</v>
      </c>
      <c r="E36" s="3" t="s">
        <v>9</v>
      </c>
      <c r="F36" s="3"/>
      <c r="G36" s="3"/>
      <c r="H36" s="3" t="s">
        <v>6</v>
      </c>
      <c r="I36" s="3" t="s">
        <v>7</v>
      </c>
      <c r="J36" s="3" t="s">
        <v>8</v>
      </c>
      <c r="K36" s="3" t="s">
        <v>18</v>
      </c>
      <c r="L36" s="3"/>
      <c r="M36" s="3"/>
      <c r="N36" s="3"/>
      <c r="O36" s="3"/>
      <c r="P36" s="3" t="s">
        <v>6</v>
      </c>
      <c r="Q36" s="3" t="s">
        <v>7</v>
      </c>
      <c r="R36" s="3" t="s">
        <v>8</v>
      </c>
      <c r="S36" s="3" t="s">
        <v>9</v>
      </c>
    </row>
    <row r="37" spans="1:19" x14ac:dyDescent="0.2">
      <c r="A37">
        <v>0</v>
      </c>
      <c r="B37" s="3">
        <f t="shared" ref="B37:B62" si="0">(-0.000020774376228281*(A37^4))+((0.00138141479635702*(A37^3)))-(0.0257374008010214*(A37^2))-(0.0166664953919504*A37)+3.01517816478201</f>
        <v>3.01517816478201</v>
      </c>
      <c r="C37" s="3">
        <f t="shared" ref="C37:C62" si="1">(-6.40432847874572E-06*(A37^4))+((0.000955618695967608*(A37^3)))-(0.0284949626563673*(A37^2))+(0.00154725707875514*A37)+6</f>
        <v>6</v>
      </c>
      <c r="D37" s="3">
        <f t="shared" ref="D37:D62" si="2">(-6.40432847874572E-06*(A37^4))+((0.000955618695967608*(A37^3)))-(0.0284949626563673*(A37^2))+(0.00154725707875514*A37)+6</f>
        <v>6</v>
      </c>
      <c r="E37" s="3">
        <f t="shared" ref="E37:E62" si="3">C37-B37</f>
        <v>2.98482183521799</v>
      </c>
      <c r="F37" s="3"/>
      <c r="G37" s="3">
        <v>0</v>
      </c>
      <c r="H37" s="3">
        <f>(0.0000105623543123767*(G37^4))-(0.0000791569541576109*(G37^3))-(0.00346445221443759*(G37^2))-(0.00313616938623795*(G37))+1.9001165501147</f>
        <v>1.9001165501146999</v>
      </c>
      <c r="I37" s="3">
        <f>(9.65180652684472E-06*(G37^4))-(0.000116307303808405*(G37^3))-(0.00255026223774735*(G37^2))-(0.00058867521367748*(G37))+2.50067599067344</f>
        <v>2.5006759906734399</v>
      </c>
      <c r="J37" s="3">
        <f>(9.65180652684472E-06*(G37^4))-(0.000116307303808405*(G37^3))-(0.00255026223774735*(G37^2))-(0.00058867521367748*(G37))+2.50067599067344</f>
        <v>2.5006759906734399</v>
      </c>
      <c r="K37" s="3">
        <f>I37-H37</f>
        <v>0.60055944055874</v>
      </c>
      <c r="L37" s="3"/>
      <c r="M37" s="3">
        <v>0</v>
      </c>
      <c r="N37" s="3"/>
      <c r="O37" s="3" t="s">
        <v>30</v>
      </c>
      <c r="P37" s="3">
        <f t="shared" ref="P37:P45" si="4">(-0.000020774376228281*(O37^4))+((0.00138141479635702*(O37^3)))-(0.0257374008010214*(O37^2))-(0.0166664953919504*O37)+3.01517816478201</f>
        <v>3.01517816478201</v>
      </c>
      <c r="Q37" s="3">
        <f t="shared" ref="Q37:Q45" si="5">(-6.40432847874572E-06*(O37^4))+((0.000955618695967608*(O37^3)))-(0.0284949626563673*(O37^2))+(0.00154725707875514*O37)+6</f>
        <v>6</v>
      </c>
      <c r="R37" s="3">
        <f t="shared" ref="R37:R45" si="6">(-6.40432847874572E-06*(O37^4))+((0.000955618695967608*(O37^3)))-(0.0284949626563673*(O37^2))+(0.00154725707875514*O37)+6</f>
        <v>6</v>
      </c>
      <c r="S37" s="3">
        <f t="shared" ref="S37:S45" si="7">Q37-P37</f>
        <v>2.98482183521799</v>
      </c>
    </row>
    <row r="38" spans="1:19" x14ac:dyDescent="0.2">
      <c r="A38" s="1">
        <v>1</v>
      </c>
      <c r="B38" s="3">
        <f t="shared" si="0"/>
        <v>2.9741349090091669</v>
      </c>
      <c r="C38" s="3">
        <f t="shared" si="1"/>
        <v>5.9740015087898763</v>
      </c>
      <c r="D38" s="3">
        <f t="shared" si="2"/>
        <v>5.9740015087898763</v>
      </c>
      <c r="E38" s="3">
        <f t="shared" si="3"/>
        <v>2.9998665997807095</v>
      </c>
      <c r="F38" s="3"/>
      <c r="G38" s="3">
        <v>1</v>
      </c>
      <c r="H38" s="3">
        <f>(0.0000105623543123767*(G38^4))-(0.0000791569541576109*(G38^3))-(0.00346445221443759*(G38^2))-(0.00313616938623795*(G38))+1.9001165501147</f>
        <v>1.8934473339141791</v>
      </c>
      <c r="I38" s="3">
        <f>(9.65180652684472E-06*(G38^4))-(0.000116307303808405*(G38^3))-(0.00255026223774735*(G38^2))-(0.00058867521367748*(G38))+2.50067599067344</f>
        <v>2.4974303977247336</v>
      </c>
      <c r="J38" s="3">
        <f>(9.65180652684472E-06*(G38^4))-(0.000116307303808405*(G38^3))-(0.00255026223774735*(G38^2))-(0.00058867521367748*(G38))+2.50067599067344</f>
        <v>2.4974303977247336</v>
      </c>
      <c r="K38" s="3">
        <f t="shared" ref="K38:K50" si="8">I38-H38</f>
        <v>0.60398306381055455</v>
      </c>
      <c r="L38" s="3"/>
      <c r="M38" s="3">
        <v>0.5</v>
      </c>
      <c r="N38" s="3"/>
      <c r="O38" s="3">
        <v>1</v>
      </c>
      <c r="P38" s="3">
        <f t="shared" si="4"/>
        <v>2.9741349090091669</v>
      </c>
      <c r="Q38" s="3">
        <f t="shared" si="5"/>
        <v>5.9740015087898763</v>
      </c>
      <c r="R38" s="3">
        <f t="shared" si="6"/>
        <v>5.9740015087898763</v>
      </c>
      <c r="S38" s="3">
        <f t="shared" si="7"/>
        <v>2.9998665997807095</v>
      </c>
    </row>
    <row r="39" spans="1:19" x14ac:dyDescent="0.2">
      <c r="A39" s="1">
        <v>2</v>
      </c>
      <c r="B39" s="3">
        <f t="shared" si="0"/>
        <v>2.8896144991452273</v>
      </c>
      <c r="C39" s="3">
        <f t="shared" si="1"/>
        <v>5.8966571438441218</v>
      </c>
      <c r="D39" s="3">
        <f t="shared" si="2"/>
        <v>5.8966571438441218</v>
      </c>
      <c r="E39" s="3">
        <f t="shared" si="3"/>
        <v>3.0070426446988945</v>
      </c>
      <c r="F39" s="3"/>
      <c r="G39" s="3">
        <v>2</v>
      </c>
      <c r="H39" s="3">
        <f>(0.0000105623543123767*(G39^4))-(0.0000791569541576109*(G39^3))-(0.00346445221443759*(G39^2))-(0.00313616938623795*(G39))+1.9001165501147</f>
        <v>1.8795221445202108</v>
      </c>
      <c r="I39" s="3">
        <f>(9.65180652684472E-06*(G39^4))-(0.000116307303808405*(G39^3))-(0.00255026223774735*(G39^2))-(0.00058867521367748*(G39))+2.50067599067344</f>
        <v>2.4885215617690579</v>
      </c>
      <c r="J39" s="3">
        <f>(9.65180652684472E-06*(G39^4))-(0.000116307303808405*(G39^3))-(0.00255026223774735*(G39^2))-(0.00058867521367748*(G39))+2.50067599067344</f>
        <v>2.4885215617690579</v>
      </c>
      <c r="K39" s="3">
        <f t="shared" si="8"/>
        <v>0.6089994172488471</v>
      </c>
      <c r="L39" s="3"/>
      <c r="M39" s="3">
        <v>1</v>
      </c>
      <c r="N39" s="3"/>
      <c r="O39" s="3">
        <v>2</v>
      </c>
      <c r="P39" s="3">
        <f t="shared" si="4"/>
        <v>2.8896144991452273</v>
      </c>
      <c r="Q39" s="3">
        <f t="shared" si="5"/>
        <v>5.8966571438441218</v>
      </c>
      <c r="R39" s="3">
        <f t="shared" si="6"/>
        <v>5.8966571438441218</v>
      </c>
      <c r="S39" s="3">
        <f t="shared" si="7"/>
        <v>3.0070426446988945</v>
      </c>
    </row>
    <row r="40" spans="1:19" x14ac:dyDescent="0.2">
      <c r="A40" s="1">
        <v>3</v>
      </c>
      <c r="B40" s="3">
        <f t="shared" si="0"/>
        <v>2.7691575464241147</v>
      </c>
      <c r="C40" s="3">
        <f t="shared" si="1"/>
        <v>5.773470061513307</v>
      </c>
      <c r="D40" s="3">
        <f t="shared" si="2"/>
        <v>5.773470061513307</v>
      </c>
      <c r="E40" s="3">
        <f t="shared" si="3"/>
        <v>3.0043125150891923</v>
      </c>
      <c r="F40" s="3"/>
      <c r="G40" s="3">
        <v>3</v>
      </c>
      <c r="H40" s="3">
        <f t="shared" ref="H40:H53" si="9">(0.0000105623543123767*(G40^4))-(0.0000791569541576109*(G40^3))-(0.00346445221443759*(G40^2))-(0.00313616938623795*(G40))+1.9001165501147</f>
        <v>1.8582462849630947</v>
      </c>
      <c r="I40" s="3">
        <f t="shared" ref="I40:I53" si="10">(9.65180652684472E-06*(G40^4))-(0.000116307303808405*(G40^3))-(0.00255026223774735*(G40^2))-(0.00058867521367748*(G40))+2.50067599067344</f>
        <v>2.473599104018529</v>
      </c>
      <c r="J40" s="3">
        <f t="shared" ref="J40:J53" si="11">(9.65180652684472E-06*(G40^4))-(0.000116307303808405*(G40^3))-(0.00255026223774735*(G40^2))-(0.00058867521367748*(G40))+2.50067599067344</f>
        <v>2.473599104018529</v>
      </c>
      <c r="K40" s="3">
        <f t="shared" si="8"/>
        <v>0.61535281905543426</v>
      </c>
      <c r="L40" s="3"/>
      <c r="M40" s="3">
        <v>1.5</v>
      </c>
      <c r="N40" s="3"/>
      <c r="O40" s="3">
        <v>3</v>
      </c>
      <c r="P40" s="3">
        <f t="shared" si="4"/>
        <v>2.7691575464241147</v>
      </c>
      <c r="Q40" s="3">
        <f t="shared" si="5"/>
        <v>5.773470061513307</v>
      </c>
      <c r="R40" s="3">
        <f t="shared" si="6"/>
        <v>5.773470061513307</v>
      </c>
      <c r="S40" s="3">
        <f t="shared" si="7"/>
        <v>3.0043125150891923</v>
      </c>
    </row>
    <row r="41" spans="1:19" x14ac:dyDescent="0.2">
      <c r="A41" s="1">
        <v>4</v>
      </c>
      <c r="B41" s="3">
        <f t="shared" si="0"/>
        <v>2.6198060770502751</v>
      </c>
      <c r="C41" s="3">
        <f t="shared" si="1"/>
        <v>5.6097897142645117</v>
      </c>
      <c r="D41" s="3">
        <f t="shared" si="2"/>
        <v>5.6097897142645117</v>
      </c>
      <c r="E41" s="3">
        <f t="shared" si="3"/>
        <v>2.9899836372142365</v>
      </c>
      <c r="F41" s="3"/>
      <c r="G41" s="3">
        <v>4</v>
      </c>
      <c r="H41" s="3">
        <f t="shared" si="9"/>
        <v>1.8297785547766281</v>
      </c>
      <c r="I41" s="3">
        <f t="shared" si="10"/>
        <v>2.4525442890419069</v>
      </c>
      <c r="J41" s="3">
        <f t="shared" si="11"/>
        <v>2.4525442890419069</v>
      </c>
      <c r="K41" s="3">
        <f t="shared" si="8"/>
        <v>0.62276573426527881</v>
      </c>
      <c r="L41" s="3"/>
      <c r="M41" s="3">
        <v>2</v>
      </c>
      <c r="N41" s="3"/>
      <c r="O41" s="3">
        <v>4</v>
      </c>
      <c r="P41" s="3">
        <f t="shared" si="4"/>
        <v>2.6198060770502751</v>
      </c>
      <c r="Q41" s="3">
        <f t="shared" si="5"/>
        <v>5.6097897142645117</v>
      </c>
      <c r="R41" s="3">
        <f t="shared" si="6"/>
        <v>5.6097897142645117</v>
      </c>
      <c r="S41" s="3">
        <f t="shared" si="7"/>
        <v>2.9899836372142365</v>
      </c>
    </row>
    <row r="42" spans="1:19" x14ac:dyDescent="0.2">
      <c r="A42" s="1">
        <v>5</v>
      </c>
      <c r="B42" s="3">
        <f t="shared" si="0"/>
        <v>2.448103532198675</v>
      </c>
      <c r="C42" s="3">
        <f t="shared" si="1"/>
        <v>5.4108118506813279</v>
      </c>
      <c r="D42" s="3">
        <f t="shared" si="2"/>
        <v>5.4108118506813279</v>
      </c>
      <c r="E42" s="3">
        <f t="shared" si="3"/>
        <v>2.9627083184826528</v>
      </c>
      <c r="F42" s="3"/>
      <c r="G42" s="3">
        <v>5</v>
      </c>
      <c r="H42" s="3">
        <f t="shared" si="9"/>
        <v>1.7945312499981045</v>
      </c>
      <c r="I42" s="3">
        <f t="shared" si="10"/>
        <v>2.4254700247645959</v>
      </c>
      <c r="J42" s="3">
        <f t="shared" si="11"/>
        <v>2.4254700247645959</v>
      </c>
      <c r="K42" s="3">
        <f t="shared" si="8"/>
        <v>0.63093877476649141</v>
      </c>
      <c r="L42" s="3"/>
      <c r="M42" s="3">
        <v>2.5</v>
      </c>
      <c r="N42" s="3"/>
      <c r="O42" s="3">
        <v>5</v>
      </c>
      <c r="P42" s="3">
        <f t="shared" si="4"/>
        <v>2.448103532198675</v>
      </c>
      <c r="Q42" s="3">
        <f t="shared" si="5"/>
        <v>5.4108118506813279</v>
      </c>
      <c r="R42" s="3">
        <f t="shared" si="6"/>
        <v>5.4108118506813279</v>
      </c>
      <c r="S42" s="3">
        <f t="shared" si="7"/>
        <v>2.9627083184826528</v>
      </c>
    </row>
    <row r="43" spans="1:19" x14ac:dyDescent="0.2">
      <c r="A43" s="1">
        <v>6</v>
      </c>
      <c r="B43" s="3">
        <f t="shared" si="0"/>
        <v>2.2600947680148011</v>
      </c>
      <c r="C43" s="3">
        <f t="shared" si="1"/>
        <v>5.1815785154638565</v>
      </c>
      <c r="D43" s="3">
        <f t="shared" si="2"/>
        <v>5.1815785154638565</v>
      </c>
      <c r="E43" s="3">
        <f t="shared" si="3"/>
        <v>2.9214837474490554</v>
      </c>
      <c r="F43" s="3"/>
      <c r="G43" s="3">
        <v>6</v>
      </c>
      <c r="H43" s="3">
        <f t="shared" si="9"/>
        <v>1.7531701631683152</v>
      </c>
      <c r="I43" s="3">
        <f t="shared" si="10"/>
        <v>2.3927208624686456</v>
      </c>
      <c r="J43" s="3">
        <f t="shared" si="11"/>
        <v>2.3927208624686456</v>
      </c>
      <c r="K43" s="3">
        <f t="shared" si="8"/>
        <v>0.63955069930033037</v>
      </c>
      <c r="L43" s="3"/>
      <c r="M43" s="3">
        <v>3</v>
      </c>
      <c r="N43" s="3"/>
      <c r="O43" s="3">
        <v>6</v>
      </c>
      <c r="P43" s="3">
        <f t="shared" si="4"/>
        <v>2.2600947680148011</v>
      </c>
      <c r="Q43" s="3">
        <f t="shared" si="5"/>
        <v>5.1815785154638565</v>
      </c>
      <c r="R43" s="3">
        <f t="shared" si="6"/>
        <v>5.1815785154638565</v>
      </c>
      <c r="S43" s="3">
        <f t="shared" si="7"/>
        <v>2.9214837474490554</v>
      </c>
    </row>
    <row r="44" spans="1:19" x14ac:dyDescent="0.2">
      <c r="A44" s="1">
        <v>7</v>
      </c>
      <c r="B44" s="3">
        <f t="shared" si="0"/>
        <v>2.0613260556146638</v>
      </c>
      <c r="C44" s="3">
        <f t="shared" si="1"/>
        <v>4.9269780494287092</v>
      </c>
      <c r="D44" s="3">
        <f t="shared" si="2"/>
        <v>4.9269780494287092</v>
      </c>
      <c r="E44" s="3">
        <f t="shared" si="3"/>
        <v>2.8656519938140455</v>
      </c>
      <c r="F44" s="3"/>
      <c r="G44" s="3">
        <v>7</v>
      </c>
      <c r="H44" s="3">
        <f t="shared" si="9"/>
        <v>1.7066145833315483</v>
      </c>
      <c r="I44" s="3">
        <f t="shared" si="10"/>
        <v>2.3548729967927486</v>
      </c>
      <c r="J44" s="3">
        <f t="shared" si="11"/>
        <v>2.3548729967927486</v>
      </c>
      <c r="K44" s="3">
        <f t="shared" si="8"/>
        <v>0.64825841346120039</v>
      </c>
      <c r="L44" s="3"/>
      <c r="M44" s="3">
        <v>3.5</v>
      </c>
      <c r="N44" s="3"/>
      <c r="O44" s="3">
        <v>7</v>
      </c>
      <c r="P44" s="3">
        <f t="shared" si="4"/>
        <v>2.0613260556146638</v>
      </c>
      <c r="Q44" s="3">
        <f t="shared" si="5"/>
        <v>4.9269780494287092</v>
      </c>
      <c r="R44" s="3">
        <f t="shared" si="6"/>
        <v>4.9269780494287092</v>
      </c>
      <c r="S44" s="3">
        <f t="shared" si="7"/>
        <v>2.8656519938140455</v>
      </c>
    </row>
    <row r="45" spans="1:19" x14ac:dyDescent="0.2">
      <c r="A45" s="1">
        <v>8</v>
      </c>
      <c r="B45" s="3">
        <f t="shared" si="0"/>
        <v>1.8568450810847925</v>
      </c>
      <c r="C45" s="3">
        <f t="shared" si="1"/>
        <v>4.6517450895090064</v>
      </c>
      <c r="D45" s="3">
        <f t="shared" si="2"/>
        <v>4.6517450895090064</v>
      </c>
      <c r="E45" s="3">
        <f t="shared" si="3"/>
        <v>2.7949000084242139</v>
      </c>
      <c r="F45" s="3"/>
      <c r="G45" s="3">
        <v>8</v>
      </c>
      <c r="H45" s="3">
        <f t="shared" si="9"/>
        <v>1.6560372960355887</v>
      </c>
      <c r="I45" s="3">
        <f t="shared" si="10"/>
        <v>2.3127342657322423</v>
      </c>
      <c r="J45" s="3">
        <f t="shared" si="11"/>
        <v>2.3127342657322423</v>
      </c>
      <c r="K45" s="3">
        <f t="shared" si="8"/>
        <v>0.65669696969665359</v>
      </c>
      <c r="L45" s="3"/>
      <c r="M45" s="3">
        <v>4</v>
      </c>
      <c r="N45" s="3"/>
      <c r="O45" s="3">
        <v>8</v>
      </c>
      <c r="P45" s="3">
        <f t="shared" si="4"/>
        <v>1.8568450810847925</v>
      </c>
      <c r="Q45" s="3">
        <f t="shared" si="5"/>
        <v>4.6517450895090064</v>
      </c>
      <c r="R45" s="3">
        <f t="shared" si="6"/>
        <v>4.6517450895090064</v>
      </c>
      <c r="S45" s="3">
        <f t="shared" si="7"/>
        <v>2.7949000084242139</v>
      </c>
    </row>
    <row r="46" spans="1:19" x14ac:dyDescent="0.2">
      <c r="A46" s="1">
        <v>9</v>
      </c>
      <c r="B46" s="3">
        <f t="shared" si="0"/>
        <v>1.6512009454822387</v>
      </c>
      <c r="C46" s="3">
        <f t="shared" si="1"/>
        <v>4.3604605687543803</v>
      </c>
      <c r="D46" s="3">
        <f t="shared" si="2"/>
        <v>4.3604605687543803</v>
      </c>
      <c r="E46" s="3">
        <f t="shared" si="3"/>
        <v>2.7092596232721418</v>
      </c>
      <c r="F46" s="3"/>
      <c r="G46" s="3">
        <v>9</v>
      </c>
      <c r="H46" s="3">
        <f t="shared" si="9"/>
        <v>1.6028645833317188</v>
      </c>
      <c r="I46" s="3">
        <f t="shared" si="10"/>
        <v>2.2673441506391083</v>
      </c>
      <c r="J46" s="3">
        <f t="shared" si="11"/>
        <v>2.2673441506391083</v>
      </c>
      <c r="K46" s="3">
        <f t="shared" si="8"/>
        <v>0.66447956730738955</v>
      </c>
      <c r="L46" s="3"/>
      <c r="M46" s="3">
        <v>4.5</v>
      </c>
      <c r="N46" s="3"/>
      <c r="O46" s="3"/>
      <c r="P46" s="3"/>
      <c r="Q46" s="3"/>
      <c r="R46" s="3"/>
      <c r="S46" s="3"/>
    </row>
    <row r="47" spans="1:19" x14ac:dyDescent="0.2">
      <c r="A47" s="1">
        <v>10</v>
      </c>
      <c r="B47" s="3">
        <f t="shared" si="0"/>
        <v>1.4484441648345758</v>
      </c>
      <c r="C47" s="3">
        <f t="shared" si="1"/>
        <v>4.0575517163309724</v>
      </c>
      <c r="D47" s="3">
        <f t="shared" si="2"/>
        <v>4.0575517163309724</v>
      </c>
      <c r="E47" s="3">
        <f t="shared" si="3"/>
        <v>2.6091075514963968</v>
      </c>
      <c r="F47" s="3"/>
      <c r="G47" s="3">
        <v>10</v>
      </c>
      <c r="H47" s="3">
        <f t="shared" si="9"/>
        <v>1.5487762237747176</v>
      </c>
      <c r="I47" s="3">
        <f t="shared" si="10"/>
        <v>2.2199737762219725</v>
      </c>
      <c r="J47" s="3">
        <f t="shared" si="11"/>
        <v>2.2199737762219725</v>
      </c>
      <c r="K47" s="3">
        <f t="shared" si="8"/>
        <v>0.67119755244725487</v>
      </c>
      <c r="L47" s="3"/>
      <c r="M47" s="3">
        <v>5</v>
      </c>
      <c r="N47" s="3"/>
      <c r="O47" s="3"/>
      <c r="P47" s="3"/>
      <c r="Q47" s="3"/>
      <c r="R47" s="3"/>
      <c r="S47" s="3"/>
    </row>
    <row r="48" spans="1:19" x14ac:dyDescent="0.2">
      <c r="A48" s="1">
        <v>11</v>
      </c>
      <c r="B48" s="3">
        <f t="shared" si="0"/>
        <v>1.2521266701398976</v>
      </c>
      <c r="C48" s="3">
        <f t="shared" si="1"/>
        <v>3.7472920575214337</v>
      </c>
      <c r="D48" s="3">
        <f t="shared" si="2"/>
        <v>3.7472920575214337</v>
      </c>
      <c r="E48" s="3">
        <f t="shared" si="3"/>
        <v>2.4951653873815358</v>
      </c>
      <c r="F48" s="3"/>
      <c r="G48" s="3">
        <v>11</v>
      </c>
      <c r="H48" s="3">
        <f t="shared" si="9"/>
        <v>1.4957054924228612</v>
      </c>
      <c r="I48" s="3">
        <f t="shared" si="10"/>
        <v>2.1721259105461046</v>
      </c>
      <c r="J48" s="3">
        <f t="shared" si="11"/>
        <v>2.1721259105461046</v>
      </c>
      <c r="K48" s="3">
        <f t="shared" si="8"/>
        <v>0.67642041812324338</v>
      </c>
      <c r="L48" s="3"/>
      <c r="M48" s="3">
        <v>5.5</v>
      </c>
      <c r="N48" s="3"/>
      <c r="O48" s="3"/>
      <c r="P48" s="3"/>
      <c r="Q48" s="3"/>
      <c r="R48" s="3"/>
      <c r="S48" s="3"/>
    </row>
    <row r="49" spans="1:19" x14ac:dyDescent="0.2">
      <c r="A49" s="1">
        <v>12</v>
      </c>
      <c r="B49" s="3">
        <f t="shared" si="0"/>
        <v>1.0653018073668192</v>
      </c>
      <c r="C49" s="3">
        <f t="shared" si="1"/>
        <v>3.4338014137249253</v>
      </c>
      <c r="D49" s="3">
        <f t="shared" si="2"/>
        <v>3.4338014137249253</v>
      </c>
      <c r="E49" s="3">
        <f t="shared" si="3"/>
        <v>2.3684996063581059</v>
      </c>
      <c r="F49" s="3"/>
      <c r="G49" s="3">
        <v>12</v>
      </c>
      <c r="H49" s="3">
        <f t="shared" si="9"/>
        <v>1.4458391608379233</v>
      </c>
      <c r="I49" s="3">
        <f t="shared" si="10"/>
        <v>2.1255349650334199</v>
      </c>
      <c r="J49" s="3">
        <f t="shared" si="11"/>
        <v>2.1255349650334199</v>
      </c>
      <c r="K49" s="3">
        <f t="shared" si="8"/>
        <v>0.67969580419549658</v>
      </c>
      <c r="L49" s="3"/>
      <c r="M49" s="3">
        <v>6</v>
      </c>
      <c r="N49" s="3"/>
      <c r="O49" s="3"/>
      <c r="P49" s="3"/>
      <c r="Q49" s="3"/>
      <c r="R49" s="3"/>
      <c r="S49" s="3"/>
    </row>
    <row r="50" spans="1:19" x14ac:dyDescent="0.2">
      <c r="A50" s="1">
        <v>13</v>
      </c>
      <c r="B50" s="3">
        <f t="shared" si="0"/>
        <v>0.89052433745447734</v>
      </c>
      <c r="C50" s="3">
        <f t="shared" si="1"/>
        <v>3.1210459024571211</v>
      </c>
      <c r="D50" s="3">
        <f t="shared" si="2"/>
        <v>3.1210459024571211</v>
      </c>
      <c r="E50" s="3">
        <f t="shared" si="3"/>
        <v>2.2305215650026438</v>
      </c>
      <c r="F50" s="3"/>
      <c r="G50" s="3">
        <v>13</v>
      </c>
      <c r="H50" s="3">
        <f t="shared" si="9"/>
        <v>1.4016174970851736</v>
      </c>
      <c r="I50" s="3">
        <f t="shared" si="10"/>
        <v>2.0821669944624768</v>
      </c>
      <c r="J50" s="3">
        <f t="shared" si="11"/>
        <v>2.0821669944624768</v>
      </c>
      <c r="K50" s="3">
        <f t="shared" si="8"/>
        <v>0.68054949737730319</v>
      </c>
      <c r="L50" s="3"/>
      <c r="M50" s="3">
        <v>6.5</v>
      </c>
      <c r="N50" s="3"/>
      <c r="O50" s="3"/>
      <c r="P50" s="3"/>
      <c r="Q50" s="3"/>
      <c r="R50" s="3"/>
      <c r="S50" s="3"/>
    </row>
    <row r="51" spans="1:19" x14ac:dyDescent="0.2">
      <c r="A51" s="1">
        <v>14</v>
      </c>
      <c r="B51" s="3">
        <f t="shared" si="0"/>
        <v>0.72985043631252955</v>
      </c>
      <c r="C51" s="3">
        <f t="shared" si="1"/>
        <v>2.8128379373502024</v>
      </c>
      <c r="D51" s="3">
        <f t="shared" si="2"/>
        <v>2.8128379373502024</v>
      </c>
      <c r="E51" s="3">
        <f t="shared" si="3"/>
        <v>2.0829875010376728</v>
      </c>
      <c r="F51" s="3"/>
      <c r="G51" s="3">
        <v>14</v>
      </c>
      <c r="H51" s="3">
        <f t="shared" si="9"/>
        <v>1.36573426573338</v>
      </c>
      <c r="I51" s="3">
        <f t="shared" si="10"/>
        <v>2.0442196969684781</v>
      </c>
      <c r="J51" s="3">
        <f t="shared" si="11"/>
        <v>2.0442196969684781</v>
      </c>
      <c r="K51" s="3">
        <f>I51-H51</f>
        <v>0.67848543123509808</v>
      </c>
      <c r="L51" s="3"/>
      <c r="M51" s="3">
        <v>7</v>
      </c>
      <c r="N51" s="3"/>
      <c r="O51" s="3"/>
      <c r="P51" s="3"/>
      <c r="Q51" s="3"/>
      <c r="R51" s="3"/>
      <c r="S51" s="3"/>
    </row>
    <row r="52" spans="1:19" x14ac:dyDescent="0.2">
      <c r="A52" s="1">
        <v>15</v>
      </c>
      <c r="B52" s="3">
        <f t="shared" si="0"/>
        <v>0.58483769482115555</v>
      </c>
      <c r="C52" s="3">
        <f t="shared" si="1"/>
        <v>2.5128362281528598</v>
      </c>
      <c r="D52" s="3">
        <f t="shared" si="2"/>
        <v>2.5128362281528598</v>
      </c>
      <c r="E52" s="3">
        <f t="shared" si="3"/>
        <v>1.9279985333317042</v>
      </c>
      <c r="F52" s="3"/>
      <c r="G52" s="3">
        <v>15</v>
      </c>
      <c r="H52" s="3">
        <f t="shared" si="9"/>
        <v>1.3411367278548065</v>
      </c>
      <c r="I52" s="3">
        <f t="shared" si="10"/>
        <v>2.0141224140432712</v>
      </c>
      <c r="J52" s="3">
        <f t="shared" si="11"/>
        <v>2.0141224140432712</v>
      </c>
      <c r="K52" s="3">
        <f>I52-H52</f>
        <v>0.67298568618846466</v>
      </c>
      <c r="L52" s="3"/>
      <c r="M52" s="3">
        <v>7.5</v>
      </c>
      <c r="N52" s="3"/>
      <c r="O52" s="3"/>
      <c r="P52" s="3"/>
      <c r="Q52" s="3"/>
      <c r="R52" s="3"/>
      <c r="S52" s="3"/>
    </row>
    <row r="53" spans="1:19" x14ac:dyDescent="0.2">
      <c r="A53" s="1">
        <v>16</v>
      </c>
      <c r="B53" s="3">
        <f t="shared" si="0"/>
        <v>0.45654511883105586</v>
      </c>
      <c r="C53" s="3">
        <f t="shared" si="1"/>
        <v>2.2245457807302964</v>
      </c>
      <c r="D53" s="3">
        <f t="shared" si="2"/>
        <v>2.2245457807302964</v>
      </c>
      <c r="E53" s="3">
        <f t="shared" si="3"/>
        <v>1.7680006618992405</v>
      </c>
      <c r="F53" s="3"/>
      <c r="G53" s="3">
        <v>16</v>
      </c>
      <c r="H53" s="3">
        <f t="shared" si="9"/>
        <v>1.3310256410252148</v>
      </c>
      <c r="I53" s="3">
        <f t="shared" si="10"/>
        <v>1.9945361305353473</v>
      </c>
      <c r="J53" s="3">
        <f t="shared" si="11"/>
        <v>1.9945361305353473</v>
      </c>
      <c r="K53" s="3">
        <f>I53-H53</f>
        <v>0.66351048951013247</v>
      </c>
      <c r="L53" s="3"/>
      <c r="M53" s="3">
        <v>8</v>
      </c>
      <c r="N53" s="3"/>
      <c r="O53" s="3"/>
      <c r="P53" s="3"/>
      <c r="Q53" s="3"/>
      <c r="R53" s="3"/>
      <c r="S53" s="3"/>
    </row>
    <row r="54" spans="1:19" x14ac:dyDescent="0.2">
      <c r="A54" s="1">
        <v>17</v>
      </c>
      <c r="B54" s="3">
        <f t="shared" si="0"/>
        <v>0.34553312916345069</v>
      </c>
      <c r="C54" s="3">
        <f t="shared" si="1"/>
        <v>1.9513178970642242</v>
      </c>
      <c r="D54" s="3">
        <f t="shared" si="2"/>
        <v>1.9513178970642242</v>
      </c>
      <c r="E54" s="3">
        <f t="shared" si="3"/>
        <v>1.6057847679007735</v>
      </c>
      <c r="F54" s="3"/>
      <c r="G54" s="3"/>
      <c r="H54" s="3"/>
      <c r="I54" s="3"/>
      <c r="J54" s="3"/>
      <c r="K54" s="3"/>
      <c r="L54" s="3"/>
      <c r="M54" s="3">
        <v>8.5</v>
      </c>
      <c r="N54" s="3"/>
      <c r="O54" s="3"/>
      <c r="P54" s="3"/>
      <c r="Q54" s="3"/>
      <c r="R54" s="3"/>
      <c r="S54" s="3"/>
    </row>
    <row r="55" spans="1:19" x14ac:dyDescent="0.2">
      <c r="A55" s="1">
        <v>18</v>
      </c>
      <c r="B55" s="3">
        <f t="shared" si="0"/>
        <v>0.25186356161008172</v>
      </c>
      <c r="C55" s="3">
        <f t="shared" si="1"/>
        <v>1.6963501752528662</v>
      </c>
      <c r="D55" s="3">
        <f t="shared" si="2"/>
        <v>1.6963501752528662</v>
      </c>
      <c r="E55" s="3">
        <f t="shared" si="3"/>
        <v>1.4444866136427845</v>
      </c>
      <c r="F55" s="3"/>
      <c r="G55" s="3"/>
      <c r="H55" s="3"/>
      <c r="I55" s="3"/>
      <c r="J55" s="3"/>
      <c r="K55" s="3"/>
      <c r="L55" s="3"/>
      <c r="M55" s="3">
        <v>9</v>
      </c>
      <c r="N55" s="3"/>
      <c r="O55" s="3"/>
      <c r="P55" s="3"/>
      <c r="Q55" s="3"/>
      <c r="R55" s="3"/>
      <c r="S55" s="3"/>
    </row>
    <row r="56" spans="1:19" x14ac:dyDescent="0.2">
      <c r="A56" s="1">
        <v>19</v>
      </c>
      <c r="B56" s="3">
        <f t="shared" si="0"/>
        <v>0.17509966693321877</v>
      </c>
      <c r="C56" s="3">
        <f t="shared" si="1"/>
        <v>1.4626865095109531</v>
      </c>
      <c r="D56" s="3">
        <f t="shared" si="2"/>
        <v>1.4626865095109531</v>
      </c>
      <c r="E56" s="3">
        <f t="shared" si="3"/>
        <v>1.2875868425777344</v>
      </c>
      <c r="F56" s="3"/>
      <c r="G56" s="3"/>
      <c r="H56" s="3"/>
      <c r="I56" s="3"/>
      <c r="J56" s="3"/>
      <c r="K56" s="3"/>
      <c r="L56" s="3"/>
      <c r="M56" s="3">
        <v>9.5</v>
      </c>
      <c r="N56" s="3"/>
      <c r="O56" s="3"/>
      <c r="P56" s="3"/>
      <c r="Q56" s="3"/>
      <c r="R56" s="3"/>
      <c r="S56" s="3"/>
    </row>
    <row r="57" spans="1:19" x14ac:dyDescent="0.2">
      <c r="A57" s="1">
        <v>20</v>
      </c>
      <c r="B57" s="3">
        <f t="shared" si="0"/>
        <v>0.11430611086564069</v>
      </c>
      <c r="C57" s="3">
        <f t="shared" si="1"/>
        <v>1.2532170901697324</v>
      </c>
      <c r="D57" s="3">
        <f t="shared" si="2"/>
        <v>1.2532170901697324</v>
      </c>
      <c r="E57" s="3">
        <f t="shared" si="3"/>
        <v>1.1389109793040917</v>
      </c>
      <c r="F57" s="3"/>
      <c r="G57" s="3"/>
      <c r="H57" s="3"/>
      <c r="I57" s="3"/>
      <c r="J57" s="3"/>
      <c r="K57" s="3"/>
      <c r="L57" s="3"/>
      <c r="M57" s="3">
        <v>10</v>
      </c>
      <c r="N57" s="3"/>
      <c r="O57" s="3"/>
      <c r="P57" s="3"/>
      <c r="Q57" s="3"/>
      <c r="R57" s="3"/>
      <c r="S57" s="3"/>
    </row>
    <row r="58" spans="1:19" x14ac:dyDescent="0.2">
      <c r="A58" s="1">
        <v>21</v>
      </c>
      <c r="B58" s="3">
        <f t="shared" si="0"/>
        <v>6.8048974110659355E-2</v>
      </c>
      <c r="C58" s="3">
        <f t="shared" si="1"/>
        <v>1.0706784036769506</v>
      </c>
      <c r="D58" s="3">
        <f t="shared" si="2"/>
        <v>1.0706784036769506</v>
      </c>
      <c r="E58" s="3">
        <f t="shared" si="3"/>
        <v>1.0026294295662912</v>
      </c>
      <c r="F58" s="3"/>
      <c r="G58" s="3"/>
      <c r="H58" s="3"/>
      <c r="I58" s="3"/>
      <c r="J58" s="3"/>
      <c r="K58" s="3"/>
      <c r="L58" s="3"/>
      <c r="M58" s="3">
        <v>10.5</v>
      </c>
      <c r="N58" s="3"/>
      <c r="O58" s="3"/>
      <c r="P58" s="3"/>
      <c r="Q58" s="3"/>
      <c r="R58" s="3"/>
      <c r="S58" s="3"/>
    </row>
    <row r="59" spans="1:19" x14ac:dyDescent="0.2">
      <c r="A59" s="1">
        <v>22</v>
      </c>
      <c r="B59" s="3">
        <f t="shared" si="0"/>
        <v>3.4395752342097463E-2</v>
      </c>
      <c r="C59" s="3">
        <f t="shared" si="1"/>
        <v>0.91765323259687293</v>
      </c>
      <c r="D59" s="3">
        <f t="shared" si="2"/>
        <v>0.91765323259687293</v>
      </c>
      <c r="E59" s="3">
        <f t="shared" si="3"/>
        <v>0.88325748025477546</v>
      </c>
      <c r="F59" s="3"/>
      <c r="G59" s="3"/>
      <c r="H59" s="3"/>
      <c r="I59" s="3"/>
      <c r="J59" s="3"/>
      <c r="K59" s="3"/>
      <c r="L59" s="3"/>
      <c r="M59" s="3">
        <v>11</v>
      </c>
      <c r="N59" s="3"/>
      <c r="O59" s="3"/>
      <c r="P59" s="3"/>
      <c r="Q59" s="3"/>
      <c r="R59" s="3"/>
      <c r="S59" s="3"/>
    </row>
    <row r="60" spans="1:19" x14ac:dyDescent="0.2">
      <c r="A60" s="1">
        <v>23</v>
      </c>
      <c r="B60" s="3">
        <f t="shared" si="0"/>
        <v>1.0915356204305393E-2</v>
      </c>
      <c r="C60" s="3">
        <f t="shared" si="1"/>
        <v>0.79657065561027096</v>
      </c>
      <c r="D60" s="3">
        <f t="shared" si="2"/>
        <v>0.79657065561027096</v>
      </c>
      <c r="E60" s="3">
        <f t="shared" si="3"/>
        <v>0.78565529940596557</v>
      </c>
      <c r="F60" s="3"/>
      <c r="G60" s="3"/>
      <c r="H60" s="3"/>
      <c r="I60" s="3"/>
      <c r="J60" s="3"/>
      <c r="K60" s="3"/>
      <c r="L60" s="3"/>
      <c r="M60" s="3">
        <v>11.5</v>
      </c>
      <c r="N60" s="3"/>
      <c r="O60" s="3"/>
      <c r="P60" s="3"/>
      <c r="Q60" s="3"/>
      <c r="R60" s="3"/>
      <c r="S60" s="3"/>
    </row>
    <row r="61" spans="1:19" x14ac:dyDescent="0.2">
      <c r="A61" s="1">
        <v>24</v>
      </c>
      <c r="B61" s="3">
        <f t="shared" si="0"/>
        <v>-5.3218886878387828E-3</v>
      </c>
      <c r="C61" s="3">
        <f t="shared" si="1"/>
        <v>0.70970604751443034</v>
      </c>
      <c r="D61" s="3">
        <f t="shared" si="2"/>
        <v>0.70970604751443034</v>
      </c>
      <c r="E61" s="3">
        <f t="shared" si="3"/>
        <v>0.71502793620226912</v>
      </c>
      <c r="F61" s="3"/>
      <c r="G61" s="3"/>
      <c r="H61" s="3"/>
      <c r="I61" s="3"/>
      <c r="J61" s="3"/>
      <c r="K61" s="3"/>
      <c r="L61" s="3"/>
      <c r="M61" s="3">
        <v>12</v>
      </c>
      <c r="N61" s="3"/>
      <c r="O61" s="3"/>
      <c r="P61" s="3"/>
      <c r="Q61" s="3"/>
      <c r="R61" s="3"/>
      <c r="S61" s="3"/>
    </row>
    <row r="62" spans="1:19" x14ac:dyDescent="0.2">
      <c r="A62" s="1">
        <v>25</v>
      </c>
      <c r="B62" s="3">
        <f t="shared" si="0"/>
        <v>-1.7744241748952394E-2</v>
      </c>
      <c r="C62" s="3">
        <f t="shared" si="1"/>
        <v>0.65918107922314384</v>
      </c>
      <c r="D62" s="3">
        <f t="shared" si="2"/>
        <v>0.65918107922314384</v>
      </c>
      <c r="E62" s="3">
        <f t="shared" si="3"/>
        <v>0.67692532097209623</v>
      </c>
      <c r="F62" s="3"/>
      <c r="G62" s="3"/>
      <c r="H62" s="3"/>
      <c r="I62" s="3"/>
      <c r="J62" s="3"/>
      <c r="K62" s="3"/>
      <c r="L62" s="3"/>
      <c r="M62" s="3">
        <v>12.5</v>
      </c>
      <c r="N62" s="3"/>
      <c r="O62" s="3"/>
      <c r="P62" s="3"/>
      <c r="Q62" s="3"/>
      <c r="R62" s="3"/>
      <c r="S62" s="3"/>
    </row>
    <row r="63" spans="1:19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>
        <v>13</v>
      </c>
      <c r="N63" s="3"/>
    </row>
    <row r="64" spans="1:19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>
        <v>13.5</v>
      </c>
      <c r="N64" s="3"/>
    </row>
    <row r="65" spans="1:14" x14ac:dyDescent="0.2">
      <c r="A65" s="3"/>
      <c r="B65" s="3" t="s">
        <v>10</v>
      </c>
      <c r="C65" s="3" t="s">
        <v>11</v>
      </c>
      <c r="D65" s="3"/>
      <c r="E65" s="3"/>
      <c r="F65" s="3"/>
      <c r="G65" s="3"/>
      <c r="H65" s="3"/>
      <c r="I65" s="3"/>
      <c r="J65" s="3"/>
      <c r="K65" s="3"/>
      <c r="L65" s="3"/>
      <c r="M65" s="3">
        <v>14</v>
      </c>
      <c r="N65" s="3"/>
    </row>
    <row r="66" spans="1:14" x14ac:dyDescent="0.2">
      <c r="A66" s="3" t="s">
        <v>12</v>
      </c>
      <c r="B66" s="3">
        <v>1</v>
      </c>
      <c r="C66" s="3">
        <v>1</v>
      </c>
      <c r="D66" s="3"/>
      <c r="E66" s="3"/>
      <c r="F66" s="3"/>
      <c r="G66" s="3"/>
      <c r="H66" s="3"/>
      <c r="I66" s="3"/>
      <c r="J66" s="3"/>
      <c r="K66" s="3"/>
      <c r="L66" s="3"/>
      <c r="M66" s="3">
        <v>14.5</v>
      </c>
      <c r="N66" s="3"/>
    </row>
    <row r="67" spans="1:14" x14ac:dyDescent="0.2">
      <c r="A67" s="3" t="s">
        <v>13</v>
      </c>
      <c r="B67" s="3">
        <v>2</v>
      </c>
      <c r="C67" s="3">
        <v>2</v>
      </c>
      <c r="D67" s="3"/>
      <c r="E67" s="3"/>
      <c r="F67" s="3"/>
      <c r="G67" s="3"/>
      <c r="H67" s="3"/>
      <c r="I67" s="3"/>
      <c r="J67" s="3"/>
      <c r="K67" s="3"/>
      <c r="L67" s="3"/>
      <c r="M67" s="3">
        <v>15</v>
      </c>
      <c r="N67" s="3"/>
    </row>
    <row r="68" spans="1:14" x14ac:dyDescent="0.2">
      <c r="A68" s="3" t="s">
        <v>14</v>
      </c>
      <c r="B68" s="3">
        <v>2</v>
      </c>
      <c r="C68" s="3">
        <v>3</v>
      </c>
      <c r="D68" s="3"/>
      <c r="E68" s="3"/>
      <c r="F68" s="3"/>
      <c r="G68" s="3"/>
      <c r="H68" s="3"/>
      <c r="I68" s="3"/>
      <c r="J68" s="3"/>
      <c r="K68" s="3"/>
      <c r="L68" s="3"/>
      <c r="M68" s="3">
        <v>15.5</v>
      </c>
      <c r="N68" s="3"/>
    </row>
    <row r="69" spans="1:14" x14ac:dyDescent="0.2">
      <c r="A69" s="3" t="s">
        <v>15</v>
      </c>
      <c r="B69" s="3">
        <v>3</v>
      </c>
      <c r="C69" s="3">
        <v>4</v>
      </c>
      <c r="D69" s="3"/>
      <c r="E69" s="3"/>
      <c r="F69" s="3"/>
      <c r="G69" s="3"/>
      <c r="H69" s="3"/>
      <c r="I69" s="3"/>
      <c r="J69" s="3"/>
      <c r="K69" s="3"/>
      <c r="L69" s="3"/>
      <c r="M69" s="3">
        <v>16</v>
      </c>
      <c r="N69" s="3"/>
    </row>
    <row r="70" spans="1:14" x14ac:dyDescent="0.2">
      <c r="A70" s="3" t="s">
        <v>16</v>
      </c>
      <c r="B70" s="3">
        <v>6</v>
      </c>
      <c r="C70" s="3">
        <v>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3" t="s">
        <v>17</v>
      </c>
      <c r="B71" s="3">
        <v>3</v>
      </c>
      <c r="C71" s="3">
        <v>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</sheetData>
  <mergeCells count="7">
    <mergeCell ref="A35:C35"/>
    <mergeCell ref="M1:O1"/>
    <mergeCell ref="Q1:S1"/>
    <mergeCell ref="A1:C1"/>
    <mergeCell ref="E1:G1"/>
    <mergeCell ref="I1:K1"/>
    <mergeCell ref="P35:R35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5713-E5F1-134D-839F-96B33A21E50F}">
  <sheetPr>
    <tabColor rgb="FF00B050"/>
  </sheetPr>
  <dimension ref="B2:N18"/>
  <sheetViews>
    <sheetView workbookViewId="0"/>
  </sheetViews>
  <sheetFormatPr baseColWidth="10" defaultColWidth="8.83203125" defaultRowHeight="15" x14ac:dyDescent="0.2"/>
  <cols>
    <col min="1" max="1" width="3.6640625" customWidth="1"/>
    <col min="2" max="2" width="19.83203125" bestFit="1" customWidth="1"/>
    <col min="3" max="3" width="7" bestFit="1" customWidth="1"/>
    <col min="4" max="4" width="7.5" bestFit="1" customWidth="1"/>
    <col min="5" max="5" width="8.5" bestFit="1" customWidth="1"/>
    <col min="6" max="6" width="9.1640625" bestFit="1" customWidth="1"/>
    <col min="7" max="14" width="7" customWidth="1"/>
  </cols>
  <sheetData>
    <row r="2" spans="2:14" ht="17" x14ac:dyDescent="0.2">
      <c r="B2" s="50" t="s">
        <v>34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2:14" ht="17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2:14" ht="17.25" customHeight="1" x14ac:dyDescent="0.2">
      <c r="B4" s="51" t="s">
        <v>35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2:14" ht="17.25" customHeight="1" x14ac:dyDescent="0.2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2:14" ht="16" thickBot="1" x14ac:dyDescent="0.25"/>
    <row r="7" spans="2:14" x14ac:dyDescent="0.2">
      <c r="B7" s="52" t="s">
        <v>36</v>
      </c>
      <c r="C7" s="53"/>
      <c r="D7" s="53"/>
      <c r="E7" s="53"/>
      <c r="F7" s="53"/>
      <c r="G7" s="53"/>
      <c r="H7" s="53"/>
      <c r="I7" s="53"/>
      <c r="J7" s="53"/>
      <c r="K7" s="53"/>
      <c r="L7" s="54"/>
      <c r="M7" s="10"/>
    </row>
    <row r="8" spans="2:14" ht="110" thickBot="1" x14ac:dyDescent="0.25">
      <c r="B8" s="11" t="s">
        <v>37</v>
      </c>
      <c r="C8" s="12" t="s">
        <v>38</v>
      </c>
      <c r="D8" s="12" t="s">
        <v>39</v>
      </c>
      <c r="E8" s="13" t="s">
        <v>40</v>
      </c>
      <c r="F8" s="13" t="s">
        <v>41</v>
      </c>
      <c r="G8" s="12" t="s">
        <v>42</v>
      </c>
      <c r="H8" s="12" t="s">
        <v>43</v>
      </c>
      <c r="I8" s="13" t="s">
        <v>44</v>
      </c>
      <c r="J8" s="13" t="s">
        <v>45</v>
      </c>
      <c r="K8" s="12" t="s">
        <v>46</v>
      </c>
      <c r="L8" s="12" t="s">
        <v>47</v>
      </c>
      <c r="M8" s="14"/>
      <c r="N8" s="15"/>
    </row>
    <row r="9" spans="2:14" x14ac:dyDescent="0.2">
      <c r="B9" s="16" t="s">
        <v>48</v>
      </c>
      <c r="C9" s="17">
        <v>1</v>
      </c>
      <c r="D9" s="17">
        <v>2</v>
      </c>
      <c r="E9" s="18">
        <v>1</v>
      </c>
      <c r="F9" s="18">
        <v>2</v>
      </c>
      <c r="G9" s="17">
        <v>1</v>
      </c>
      <c r="H9" s="17">
        <v>2</v>
      </c>
      <c r="I9" s="18">
        <v>1.5</v>
      </c>
      <c r="J9" s="18">
        <v>2</v>
      </c>
      <c r="K9" s="17">
        <v>1.5</v>
      </c>
      <c r="L9" s="17">
        <v>2</v>
      </c>
      <c r="M9" s="19"/>
    </row>
    <row r="10" spans="2:14" ht="16" thickBot="1" x14ac:dyDescent="0.25">
      <c r="B10" s="20" t="s">
        <v>49</v>
      </c>
      <c r="C10" s="21">
        <v>4</v>
      </c>
      <c r="D10" s="21">
        <v>2</v>
      </c>
      <c r="E10" s="22">
        <v>4</v>
      </c>
      <c r="F10" s="22">
        <v>2</v>
      </c>
      <c r="G10" s="21">
        <v>4</v>
      </c>
      <c r="H10" s="21">
        <v>2</v>
      </c>
      <c r="I10" s="22">
        <v>3.5</v>
      </c>
      <c r="J10" s="22">
        <v>2</v>
      </c>
      <c r="K10" s="21">
        <v>3.5</v>
      </c>
      <c r="L10" s="21">
        <v>2</v>
      </c>
      <c r="M10" s="23"/>
    </row>
    <row r="11" spans="2:14" x14ac:dyDescent="0.2">
      <c r="B11" s="16" t="s">
        <v>50</v>
      </c>
      <c r="C11" s="17">
        <v>1</v>
      </c>
      <c r="D11" s="17">
        <v>5</v>
      </c>
      <c r="E11" s="18">
        <v>1</v>
      </c>
      <c r="F11" s="18">
        <v>5</v>
      </c>
      <c r="G11" s="17">
        <v>1</v>
      </c>
      <c r="H11" s="17">
        <v>5</v>
      </c>
      <c r="I11" s="18">
        <v>1.1000000000000001</v>
      </c>
      <c r="J11" s="18">
        <v>5</v>
      </c>
      <c r="K11" s="17">
        <v>1.1000000000000001</v>
      </c>
      <c r="L11" s="17">
        <v>5</v>
      </c>
      <c r="M11" s="19"/>
    </row>
    <row r="12" spans="2:14" ht="16" thickBot="1" x14ac:dyDescent="0.25">
      <c r="B12" s="20" t="s">
        <v>51</v>
      </c>
      <c r="C12" s="21">
        <v>5</v>
      </c>
      <c r="D12" s="21">
        <v>6</v>
      </c>
      <c r="E12" s="22">
        <v>5</v>
      </c>
      <c r="F12" s="22">
        <v>6</v>
      </c>
      <c r="G12" s="21">
        <v>4</v>
      </c>
      <c r="H12" s="21">
        <v>6</v>
      </c>
      <c r="I12" s="22">
        <v>3.2</v>
      </c>
      <c r="J12" s="22">
        <v>6</v>
      </c>
      <c r="K12" s="21">
        <v>3.2</v>
      </c>
      <c r="L12" s="21">
        <v>6</v>
      </c>
      <c r="M12" s="23"/>
    </row>
    <row r="13" spans="2:14" x14ac:dyDescent="0.2">
      <c r="B13" s="16" t="s">
        <v>52</v>
      </c>
      <c r="C13" s="17">
        <v>2</v>
      </c>
      <c r="D13" s="17">
        <v>4</v>
      </c>
      <c r="E13" s="18">
        <v>2</v>
      </c>
      <c r="F13" s="18">
        <v>4</v>
      </c>
      <c r="G13" s="17">
        <v>2</v>
      </c>
      <c r="H13" s="17">
        <v>4</v>
      </c>
      <c r="I13" s="18">
        <v>1.2</v>
      </c>
      <c r="J13" s="18">
        <v>4</v>
      </c>
      <c r="K13" s="17">
        <v>1.9</v>
      </c>
      <c r="L13" s="17">
        <v>7.2</v>
      </c>
      <c r="M13" s="19"/>
    </row>
    <row r="14" spans="2:14" ht="16" thickBot="1" x14ac:dyDescent="0.25">
      <c r="B14" s="20" t="s">
        <v>53</v>
      </c>
      <c r="C14" s="21">
        <v>2</v>
      </c>
      <c r="D14" s="21">
        <v>8</v>
      </c>
      <c r="E14" s="22">
        <v>2</v>
      </c>
      <c r="F14" s="22">
        <v>8</v>
      </c>
      <c r="G14" s="21">
        <v>2</v>
      </c>
      <c r="H14" s="21">
        <v>8</v>
      </c>
      <c r="I14" s="22">
        <v>2.6</v>
      </c>
      <c r="J14" s="22">
        <v>8</v>
      </c>
      <c r="K14" s="21">
        <v>2.6</v>
      </c>
      <c r="L14" s="21">
        <v>8</v>
      </c>
      <c r="M14" s="23"/>
    </row>
    <row r="15" spans="2:14" x14ac:dyDescent="0.2">
      <c r="B15" s="16" t="s">
        <v>54</v>
      </c>
      <c r="C15" s="17">
        <v>5</v>
      </c>
      <c r="D15" s="17">
        <v>9</v>
      </c>
      <c r="E15" s="18">
        <v>3</v>
      </c>
      <c r="F15" s="18">
        <v>9</v>
      </c>
      <c r="G15" s="17">
        <v>3</v>
      </c>
      <c r="H15" s="17">
        <v>9</v>
      </c>
      <c r="I15" s="18">
        <v>1.9</v>
      </c>
      <c r="J15" s="18">
        <v>9</v>
      </c>
      <c r="K15" s="17">
        <v>1.9</v>
      </c>
      <c r="L15" s="17">
        <v>7.2</v>
      </c>
      <c r="M15" s="19"/>
    </row>
    <row r="16" spans="2:14" ht="16" thickBot="1" x14ac:dyDescent="0.25">
      <c r="B16" s="20" t="s">
        <v>55</v>
      </c>
      <c r="C16" s="21">
        <v>5</v>
      </c>
      <c r="D16" s="21">
        <v>12</v>
      </c>
      <c r="E16" s="22">
        <v>3</v>
      </c>
      <c r="F16" s="22">
        <v>12</v>
      </c>
      <c r="G16" s="21">
        <v>3</v>
      </c>
      <c r="H16" s="21">
        <v>12</v>
      </c>
      <c r="I16" s="22">
        <v>3</v>
      </c>
      <c r="J16" s="22">
        <v>8.1</v>
      </c>
      <c r="K16" s="21">
        <v>3</v>
      </c>
      <c r="L16" s="21">
        <v>7.4</v>
      </c>
      <c r="M16" s="23"/>
    </row>
    <row r="17" spans="2:13" x14ac:dyDescent="0.2">
      <c r="B17" s="24" t="s">
        <v>56</v>
      </c>
      <c r="C17" s="25">
        <v>5</v>
      </c>
      <c r="D17" s="25">
        <v>14</v>
      </c>
      <c r="E17" s="26">
        <v>1.5</v>
      </c>
      <c r="F17" s="26">
        <v>14</v>
      </c>
      <c r="G17" s="25">
        <v>1.5</v>
      </c>
      <c r="H17" s="25">
        <v>14</v>
      </c>
      <c r="I17" s="26">
        <v>1.5</v>
      </c>
      <c r="J17" s="26">
        <v>10.3</v>
      </c>
      <c r="K17" s="25">
        <v>1.5</v>
      </c>
      <c r="L17" s="25">
        <v>6</v>
      </c>
      <c r="M17" s="27"/>
    </row>
    <row r="18" spans="2:13" ht="16" thickBot="1" x14ac:dyDescent="0.25">
      <c r="B18" s="20" t="s">
        <v>57</v>
      </c>
      <c r="C18" s="21">
        <v>5</v>
      </c>
      <c r="D18" s="21">
        <v>20</v>
      </c>
      <c r="E18" s="22">
        <v>1</v>
      </c>
      <c r="F18" s="22">
        <v>16</v>
      </c>
      <c r="G18" s="21">
        <v>1</v>
      </c>
      <c r="H18" s="21">
        <v>16</v>
      </c>
      <c r="I18" s="22">
        <v>1</v>
      </c>
      <c r="J18" s="22">
        <v>9.1999999999999993</v>
      </c>
      <c r="K18" s="21">
        <v>1</v>
      </c>
      <c r="L18" s="21">
        <v>6.5</v>
      </c>
      <c r="M18" s="23"/>
    </row>
  </sheetData>
  <mergeCells count="3">
    <mergeCell ref="B2:M2"/>
    <mergeCell ref="B4:M5"/>
    <mergeCell ref="B7:L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1B838F70A9CF438D7FF1F20AA97B58" ma:contentTypeVersion="24" ma:contentTypeDescription="Create a new document." ma:contentTypeScope="" ma:versionID="c29e920151f3afd27268eb6fb892d74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f1c3a5fe40b69cf375f6490498fc6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AD098F-144C-4A38-9CFC-728325258163}">
  <ds:schemaRefs>
    <ds:schemaRef ds:uri="http://schemas.microsoft.com/sharepoint/v3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497E83-53DA-4EBC-B17A-63D6B2EB83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6B24CF-C81E-4C21-B85D-6327CC8749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8</vt:i4>
      </vt:variant>
    </vt:vector>
  </HeadingPairs>
  <TitlesOfParts>
    <vt:vector size="11" baseType="lpstr">
      <vt:lpstr>Structure Data Input </vt:lpstr>
      <vt:lpstr>Chart Create Data</vt:lpstr>
      <vt:lpstr>DATA ENTRY</vt:lpstr>
      <vt:lpstr>5.1</vt:lpstr>
      <vt:lpstr>5.2</vt:lpstr>
      <vt:lpstr>trendline</vt:lpstr>
      <vt:lpstr>HOUSES</vt:lpstr>
      <vt:lpstr>MOBILE HOMES</vt:lpstr>
      <vt:lpstr>CARS</vt:lpstr>
      <vt:lpstr>ADULTS</vt:lpstr>
      <vt:lpstr>CHILDREN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2026-09-11T21:28:03Z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0x010100221B838F70A9CF438D7FF1F20AA97B58</vt:lpwstr>
  </property>
  <property fmtid="{D5CDD505-2E9C-101B-9397-08002B2CF9AE}" pid="3" name="PublishingRollupImage">
    <vt:lpwstr/>
  </property>
  <property fmtid="{D5CDD505-2E9C-101B-9397-08002B2CF9AE}" pid="4" name="PublishingContactEmail">
    <vt:lpwstr/>
  </property>
  <property fmtid="{D5CDD505-2E9C-101B-9397-08002B2CF9AE}" pid="5" name="PublishingVariationRelationshipLinkFieldID">
    <vt:lpwstr>, </vt:lpwstr>
  </property>
  <property fmtid="{D5CDD505-2E9C-101B-9397-08002B2CF9AE}" pid="6" name="Comments">
    <vt:lpwstr/>
  </property>
  <property fmtid="{D5CDD505-2E9C-101B-9397-08002B2CF9AE}" pid="7" name="PublishingPageLayout">
    <vt:lpwstr/>
  </property>
  <property fmtid="{D5CDD505-2E9C-101B-9397-08002B2CF9AE}" pid="8" name="Audience">
    <vt:lpwstr/>
  </property>
  <property fmtid="{D5CDD505-2E9C-101B-9397-08002B2CF9AE}" pid="9" name="PublishingContactPicture">
    <vt:lpwstr/>
  </property>
  <property fmtid="{D5CDD505-2E9C-101B-9397-08002B2CF9AE}" pid="10" name="PublishingContactName">
    <vt:lpwstr/>
  </property>
</Properties>
</file>